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Buzwekazi\Downloads\"/>
    </mc:Choice>
  </mc:AlternateContent>
  <xr:revisionPtr revIDLastSave="0" documentId="8_{F626C48D-1D17-409A-9748-6D3B70E74F56}" xr6:coauthVersionLast="47" xr6:coauthVersionMax="47" xr10:uidLastSave="{00000000-0000-0000-0000-000000000000}"/>
  <bookViews>
    <workbookView xWindow="-110" yWindow="-110" windowWidth="19420" windowHeight="10300" activeTab="2" xr2:uid="{788A1AC7-4E3B-4C89-9A23-F2C60032D945}"/>
  </bookViews>
  <sheets>
    <sheet name="Cover Page " sheetId="10" r:id="rId1"/>
    <sheet name="Dashboard" sheetId="4" r:id="rId2"/>
    <sheet name="Assumptions" sheetId="3" r:id="rId3"/>
    <sheet name="Historical Financials" sheetId="5" r:id="rId4"/>
    <sheet name="Historical Ratios" sheetId="6" r:id="rId5"/>
    <sheet name="Forecast Model" sheetId="7" r:id="rId6"/>
    <sheet name="DCF Valuation" sheetId="8" r:id="rId7"/>
    <sheet name="Operational Sensitivity" sheetId="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5" i="4" l="1"/>
  <c r="Y4" i="4"/>
  <c r="Y2" i="4"/>
  <c r="Y3" i="4"/>
  <c r="B33" i="10"/>
  <c r="C12" i="4"/>
  <c r="B40" i="5"/>
  <c r="B205" i="3"/>
  <c r="C205" i="3"/>
  <c r="D205" i="3"/>
  <c r="E205" i="3"/>
  <c r="F205" i="3"/>
  <c r="B117" i="3"/>
  <c r="B118" i="3"/>
  <c r="B116" i="3"/>
  <c r="B115" i="3"/>
  <c r="B114" i="3"/>
  <c r="C123" i="3"/>
  <c r="D123" i="3"/>
  <c r="E123" i="3"/>
  <c r="F123" i="3"/>
  <c r="B123" i="3"/>
  <c r="F122" i="3"/>
  <c r="E122" i="3"/>
  <c r="D122" i="3"/>
  <c r="C122" i="3"/>
  <c r="B122" i="3"/>
  <c r="B107" i="3"/>
  <c r="B106" i="3"/>
  <c r="B105" i="3"/>
  <c r="B104" i="3"/>
  <c r="B103" i="3"/>
  <c r="C5" i="5"/>
  <c r="D5" i="5"/>
  <c r="E5" i="5"/>
  <c r="F5" i="5"/>
  <c r="B5" i="5"/>
  <c r="C6" i="5"/>
  <c r="D6" i="5"/>
  <c r="E6" i="5"/>
  <c r="F6" i="5"/>
  <c r="B6" i="5"/>
  <c r="B97" i="3"/>
  <c r="B96" i="3"/>
  <c r="B95" i="3"/>
  <c r="B94" i="3"/>
  <c r="B93" i="3"/>
  <c r="B7" i="5"/>
  <c r="B8" i="5"/>
  <c r="F9" i="5"/>
  <c r="E9" i="5"/>
  <c r="C9" i="5"/>
  <c r="D9" i="5"/>
  <c r="B9" i="5"/>
  <c r="C8" i="5"/>
  <c r="C7" i="5"/>
  <c r="D7" i="5"/>
  <c r="F7" i="5"/>
  <c r="E7" i="5"/>
  <c r="D8" i="5"/>
  <c r="E8" i="5"/>
  <c r="F8" i="5"/>
  <c r="B163" i="3"/>
  <c r="C171" i="3"/>
  <c r="B171" i="3"/>
  <c r="B164" i="3"/>
  <c r="B165" i="3"/>
  <c r="C185" i="3"/>
  <c r="B185" i="3"/>
  <c r="E156" i="3"/>
  <c r="E155" i="3"/>
  <c r="E154" i="3"/>
  <c r="E153" i="3"/>
  <c r="E152" i="3"/>
  <c r="C156" i="3"/>
  <c r="C155" i="3"/>
  <c r="C153" i="3"/>
  <c r="C152" i="3"/>
  <c r="C154" i="3"/>
  <c r="C50" i="3"/>
  <c r="D50" i="3"/>
  <c r="E50" i="3"/>
  <c r="F50" i="3"/>
  <c r="B50" i="3"/>
  <c r="B30" i="3"/>
  <c r="C36" i="3"/>
  <c r="D36" i="3"/>
  <c r="E36" i="3"/>
  <c r="F36" i="3"/>
  <c r="B36" i="3"/>
  <c r="C35" i="3"/>
  <c r="D35" i="3"/>
  <c r="E35" i="3"/>
  <c r="F35" i="3"/>
  <c r="B35" i="3"/>
  <c r="B44" i="3"/>
  <c r="D246" i="3"/>
  <c r="D245" i="3"/>
  <c r="D244" i="3"/>
  <c r="D243" i="3"/>
  <c r="B246" i="3"/>
  <c r="A249" i="3"/>
  <c r="B251" i="3" s="1"/>
  <c r="D70" i="3"/>
  <c r="C72" i="3"/>
  <c r="C73" i="3"/>
  <c r="C74" i="3"/>
  <c r="C71" i="3"/>
  <c r="E77" i="3"/>
  <c r="E78" i="3"/>
  <c r="E79" i="3"/>
  <c r="E80" i="3"/>
  <c r="E81" i="3"/>
  <c r="C7" i="4"/>
  <c r="B224" i="3"/>
  <c r="B229" i="3" s="1"/>
  <c r="B231" i="3"/>
  <c r="B232" i="3"/>
  <c r="B32" i="8"/>
  <c r="C77" i="7"/>
  <c r="D77" i="7"/>
  <c r="E77" i="7"/>
  <c r="F77" i="7"/>
  <c r="C41" i="7"/>
  <c r="D41" i="7"/>
  <c r="E41" i="7"/>
  <c r="F41" i="7"/>
  <c r="C40" i="7"/>
  <c r="D40" i="7"/>
  <c r="E40" i="7"/>
  <c r="F40" i="7"/>
  <c r="F26" i="5"/>
  <c r="E26" i="5"/>
  <c r="D26" i="5"/>
  <c r="C26" i="5"/>
  <c r="B26" i="5"/>
  <c r="C25" i="5"/>
  <c r="D25" i="5"/>
  <c r="E25" i="5"/>
  <c r="F25" i="5"/>
  <c r="B25" i="5"/>
  <c r="B77" i="7"/>
  <c r="B41" i="7"/>
  <c r="B40" i="7"/>
  <c r="B57" i="7"/>
  <c r="B51" i="7"/>
  <c r="C14" i="7"/>
  <c r="D14" i="7"/>
  <c r="B14" i="7"/>
  <c r="C15" i="6"/>
  <c r="D15" i="6"/>
  <c r="E15" i="6"/>
  <c r="F15" i="6"/>
  <c r="B15" i="6"/>
  <c r="C13" i="6"/>
  <c r="D13" i="6"/>
  <c r="E13" i="6"/>
  <c r="F13" i="6"/>
  <c r="B13" i="6"/>
  <c r="C43" i="5"/>
  <c r="D43" i="5"/>
  <c r="E43" i="5"/>
  <c r="F43" i="5"/>
  <c r="B43" i="5"/>
  <c r="C40" i="5"/>
  <c r="D40" i="5"/>
  <c r="E40" i="5"/>
  <c r="F40" i="5"/>
  <c r="C38" i="5"/>
  <c r="D38" i="5"/>
  <c r="E38" i="5"/>
  <c r="F38" i="5"/>
  <c r="B38" i="5"/>
  <c r="F29" i="5"/>
  <c r="E29" i="5"/>
  <c r="D29" i="5"/>
  <c r="C29" i="5"/>
  <c r="B29" i="5"/>
  <c r="F22" i="5"/>
  <c r="E22" i="5"/>
  <c r="D22" i="5"/>
  <c r="C22" i="5"/>
  <c r="B22" i="5"/>
  <c r="F15" i="5"/>
  <c r="E15" i="5"/>
  <c r="D15" i="5"/>
  <c r="C15" i="5"/>
  <c r="B15" i="5"/>
  <c r="C11" i="3"/>
  <c r="C12" i="3" s="1"/>
  <c r="D11" i="3"/>
  <c r="D12" i="3" s="1"/>
  <c r="E11" i="3"/>
  <c r="E12" i="3" s="1"/>
  <c r="F11" i="3"/>
  <c r="F12" i="3" s="1"/>
  <c r="B11" i="3"/>
  <c r="B12" i="3" s="1"/>
  <c r="B230" i="3"/>
  <c r="D187" i="3"/>
  <c r="C187" i="3"/>
  <c r="B187" i="3"/>
  <c r="E186" i="3"/>
  <c r="E185" i="3"/>
  <c r="D180" i="3"/>
  <c r="C180" i="3"/>
  <c r="B180" i="3"/>
  <c r="E179" i="3"/>
  <c r="E178" i="3"/>
  <c r="D173" i="3"/>
  <c r="C173" i="3"/>
  <c r="B173" i="3"/>
  <c r="E172" i="3"/>
  <c r="E171" i="3"/>
  <c r="C138" i="3"/>
  <c r="C139" i="3" s="1"/>
  <c r="D138" i="3"/>
  <c r="D139" i="3" s="1"/>
  <c r="E138" i="3"/>
  <c r="E139" i="3" s="1"/>
  <c r="F138" i="3"/>
  <c r="F139" i="3" s="1"/>
  <c r="B138" i="3"/>
  <c r="B139" i="3" s="1"/>
  <c r="I86" i="3"/>
  <c r="G86" i="3"/>
  <c r="E86" i="3"/>
  <c r="C86" i="3"/>
  <c r="B86" i="3"/>
  <c r="F20" i="3"/>
  <c r="F22" i="3" s="1"/>
  <c r="E20" i="3"/>
  <c r="E22" i="3" s="1"/>
  <c r="D20" i="3"/>
  <c r="D22" i="3" s="1"/>
  <c r="C20" i="3"/>
  <c r="C22" i="3" s="1"/>
  <c r="B20" i="3"/>
  <c r="B22" i="3" s="1"/>
  <c r="C207" i="3" l="1"/>
  <c r="C212" i="3" s="1"/>
  <c r="F207" i="3"/>
  <c r="F212" i="3" s="1"/>
  <c r="E207" i="3"/>
  <c r="D207" i="3"/>
  <c r="B207" i="3"/>
  <c r="D212" i="3"/>
  <c r="E212" i="3"/>
  <c r="B212" i="3"/>
  <c r="C124" i="3"/>
  <c r="D124" i="3"/>
  <c r="E124" i="3"/>
  <c r="F124" i="3"/>
  <c r="B124" i="3"/>
  <c r="E14" i="6"/>
  <c r="F9" i="6"/>
  <c r="C14" i="6"/>
  <c r="C16" i="6" s="1"/>
  <c r="F14" i="6"/>
  <c r="B14" i="6"/>
  <c r="D14" i="6"/>
  <c r="B11" i="5"/>
  <c r="F11" i="5"/>
  <c r="F19" i="6"/>
  <c r="F4" i="6"/>
  <c r="D11" i="5"/>
  <c r="D8" i="6" s="1"/>
  <c r="C11" i="5"/>
  <c r="C8" i="6" s="1"/>
  <c r="B31" i="8"/>
  <c r="B84" i="7"/>
  <c r="D153" i="3"/>
  <c r="F153" i="3" s="1"/>
  <c r="D154" i="3"/>
  <c r="F154" i="3" s="1"/>
  <c r="D155" i="3"/>
  <c r="F155" i="3" s="1"/>
  <c r="D156" i="3"/>
  <c r="F156" i="3" s="1"/>
  <c r="D152" i="3"/>
  <c r="F152" i="3" s="1"/>
  <c r="F53" i="3"/>
  <c r="E53" i="3"/>
  <c r="D53" i="3"/>
  <c r="B53" i="3"/>
  <c r="C53" i="3"/>
  <c r="B37" i="3"/>
  <c r="C37" i="3"/>
  <c r="D37" i="3"/>
  <c r="F37" i="3"/>
  <c r="E37" i="3"/>
  <c r="B249" i="3"/>
  <c r="B252" i="3"/>
  <c r="C20" i="4"/>
  <c r="B250" i="3"/>
  <c r="B58" i="7"/>
  <c r="B59" i="7" s="1"/>
  <c r="C57" i="7" s="1"/>
  <c r="B24" i="3"/>
  <c r="D86" i="3"/>
  <c r="B53" i="7"/>
  <c r="C24" i="3"/>
  <c r="D24" i="3"/>
  <c r="E187" i="3"/>
  <c r="B219" i="3"/>
  <c r="Z1" i="8" s="1"/>
  <c r="B18" i="8" s="1"/>
  <c r="F86" i="3"/>
  <c r="E180" i="3"/>
  <c r="H86" i="3"/>
  <c r="E173" i="3"/>
  <c r="J86" i="3"/>
  <c r="D16" i="6"/>
  <c r="E16" i="6"/>
  <c r="F16" i="5"/>
  <c r="F16" i="6"/>
  <c r="D16" i="5"/>
  <c r="E9" i="6"/>
  <c r="B8" i="6"/>
  <c r="F8" i="6"/>
  <c r="E24" i="3"/>
  <c r="F24" i="3"/>
  <c r="B198" i="3" l="1"/>
  <c r="B197" i="3"/>
  <c r="B194" i="3"/>
  <c r="B195" i="3"/>
  <c r="Z2" i="9"/>
  <c r="B196" i="3" s="1"/>
  <c r="E4" i="6"/>
  <c r="E19" i="6"/>
  <c r="E11" i="5"/>
  <c r="D9" i="6"/>
  <c r="D4" i="6"/>
  <c r="D19" i="6"/>
  <c r="B9" i="6"/>
  <c r="B19" i="6"/>
  <c r="C4" i="6"/>
  <c r="C9" i="6"/>
  <c r="C19" i="6"/>
  <c r="B16" i="5"/>
  <c r="B17" i="5" s="1"/>
  <c r="B18" i="5" s="1"/>
  <c r="B20" i="6" s="1"/>
  <c r="C5" i="6"/>
  <c r="C16" i="5"/>
  <c r="D5" i="6"/>
  <c r="Z1" i="9"/>
  <c r="B62" i="3" s="1"/>
  <c r="B60" i="3"/>
  <c r="B7" i="7" s="1"/>
  <c r="C21" i="4"/>
  <c r="B65" i="3"/>
  <c r="Z2" i="8" s="1"/>
  <c r="C18" i="4"/>
  <c r="C19" i="4"/>
  <c r="B63" i="3"/>
  <c r="B64" i="3"/>
  <c r="B61" i="3"/>
  <c r="C58" i="7"/>
  <c r="C59" i="7" s="1"/>
  <c r="F18" i="8"/>
  <c r="E18" i="8"/>
  <c r="D18" i="8"/>
  <c r="C18" i="8"/>
  <c r="B25" i="7"/>
  <c r="B65" i="7"/>
  <c r="B8" i="8" s="1"/>
  <c r="B10" i="6"/>
  <c r="F17" i="5"/>
  <c r="F18" i="5" s="1"/>
  <c r="F20" i="6" s="1"/>
  <c r="F10" i="6"/>
  <c r="D10" i="6"/>
  <c r="D17" i="5"/>
  <c r="D18" i="5" s="1"/>
  <c r="D20" i="6" s="1"/>
  <c r="C10" i="6"/>
  <c r="B11" i="7" l="1"/>
  <c r="F5" i="6"/>
  <c r="E5" i="6"/>
  <c r="E16" i="5"/>
  <c r="E8" i="6"/>
  <c r="C17" i="5"/>
  <c r="C18" i="5" s="1"/>
  <c r="C20" i="6" s="1"/>
  <c r="B12" i="7"/>
  <c r="C7" i="7"/>
  <c r="B15" i="7"/>
  <c r="B52" i="7"/>
  <c r="B9" i="8" s="1"/>
  <c r="C25" i="7"/>
  <c r="D57" i="7"/>
  <c r="D58" i="7" s="1"/>
  <c r="D59" i="7" s="1"/>
  <c r="D25" i="7" s="1"/>
  <c r="B8" i="7" l="1"/>
  <c r="B37" i="7"/>
  <c r="B68" i="7" s="1"/>
  <c r="B30" i="7"/>
  <c r="C11" i="7"/>
  <c r="E17" i="5"/>
  <c r="E18" i="5" s="1"/>
  <c r="E20" i="6" s="1"/>
  <c r="E10" i="6"/>
  <c r="B13" i="7"/>
  <c r="C15" i="7"/>
  <c r="D7" i="7"/>
  <c r="C12" i="7"/>
  <c r="C30" i="7" s="1"/>
  <c r="C52" i="7"/>
  <c r="C72" i="7" s="1"/>
  <c r="C73" i="7" s="1"/>
  <c r="B54" i="7"/>
  <c r="B72" i="7"/>
  <c r="B73" i="7" s="1"/>
  <c r="E57" i="7"/>
  <c r="B43" i="7" l="1"/>
  <c r="B66" i="7"/>
  <c r="B10" i="7"/>
  <c r="B31" i="7" s="1"/>
  <c r="B67" i="7" s="1"/>
  <c r="C8" i="7"/>
  <c r="D11" i="7"/>
  <c r="B16" i="7"/>
  <c r="B17" i="7" s="1"/>
  <c r="C13" i="7"/>
  <c r="C16" i="7" s="1"/>
  <c r="C17" i="7" s="1"/>
  <c r="C37" i="7"/>
  <c r="D15" i="7"/>
  <c r="C9" i="8"/>
  <c r="D12" i="7"/>
  <c r="D52" i="7"/>
  <c r="D9" i="8" s="1"/>
  <c r="E7" i="7"/>
  <c r="C66" i="7"/>
  <c r="B24" i="7"/>
  <c r="B26" i="7" s="1"/>
  <c r="C51" i="7"/>
  <c r="C53" i="7" s="1"/>
  <c r="C65" i="7" s="1"/>
  <c r="C8" i="8" s="1"/>
  <c r="E58" i="7"/>
  <c r="E59" i="7" s="1"/>
  <c r="B10" i="8" l="1"/>
  <c r="C10" i="7"/>
  <c r="C31" i="7" s="1"/>
  <c r="C67" i="7" s="1"/>
  <c r="B9" i="7"/>
  <c r="D37" i="7"/>
  <c r="D43" i="7" s="1"/>
  <c r="D30" i="7"/>
  <c r="D8" i="7"/>
  <c r="E11" i="7"/>
  <c r="C18" i="7"/>
  <c r="C19" i="7" s="1"/>
  <c r="C76" i="7" s="1"/>
  <c r="C78" i="7" s="1"/>
  <c r="B18" i="7"/>
  <c r="B19" i="7" s="1"/>
  <c r="B64" i="7" s="1"/>
  <c r="B69" i="7" s="1"/>
  <c r="B5" i="8"/>
  <c r="B6" i="8" s="1"/>
  <c r="B7" i="8" s="1"/>
  <c r="C5" i="8"/>
  <c r="C6" i="8" s="1"/>
  <c r="C7" i="8" s="1"/>
  <c r="C43" i="7"/>
  <c r="E52" i="7"/>
  <c r="E9" i="8" s="1"/>
  <c r="D13" i="7"/>
  <c r="D16" i="7" s="1"/>
  <c r="D17" i="7" s="1"/>
  <c r="E12" i="7"/>
  <c r="D72" i="7"/>
  <c r="D73" i="7" s="1"/>
  <c r="F7" i="7"/>
  <c r="C54" i="7"/>
  <c r="D51" i="7" s="1"/>
  <c r="D53" i="7" s="1"/>
  <c r="D65" i="7" s="1"/>
  <c r="D8" i="8" s="1"/>
  <c r="E15" i="7"/>
  <c r="C68" i="7"/>
  <c r="F57" i="7"/>
  <c r="E25" i="7"/>
  <c r="C10" i="8" l="1"/>
  <c r="D66" i="7"/>
  <c r="D68" i="7"/>
  <c r="C9" i="7"/>
  <c r="E37" i="7"/>
  <c r="E30" i="7"/>
  <c r="D10" i="7"/>
  <c r="D31" i="7" s="1"/>
  <c r="D67" i="7" s="1"/>
  <c r="E8" i="7"/>
  <c r="F11" i="7"/>
  <c r="B11" i="8"/>
  <c r="B19" i="8" s="1"/>
  <c r="C64" i="7"/>
  <c r="B76" i="7"/>
  <c r="B78" i="7" s="1"/>
  <c r="B80" i="7" s="1"/>
  <c r="B85" i="7" s="1"/>
  <c r="B86" i="7" s="1"/>
  <c r="C84" i="7" s="1"/>
  <c r="E72" i="7"/>
  <c r="E73" i="7" s="1"/>
  <c r="F15" i="7"/>
  <c r="D5" i="8"/>
  <c r="D6" i="8" s="1"/>
  <c r="D7" i="8" s="1"/>
  <c r="D18" i="7"/>
  <c r="D19" i="7" s="1"/>
  <c r="D64" i="7" s="1"/>
  <c r="C24" i="7"/>
  <c r="C26" i="7" s="1"/>
  <c r="F52" i="7"/>
  <c r="F72" i="7" s="1"/>
  <c r="F73" i="7" s="1"/>
  <c r="E13" i="7"/>
  <c r="E16" i="7" s="1"/>
  <c r="F12" i="7"/>
  <c r="F58" i="7"/>
  <c r="F59" i="7" s="1"/>
  <c r="F25" i="7" s="1"/>
  <c r="D54" i="7"/>
  <c r="C11" i="8" l="1"/>
  <c r="C19" i="8" s="1"/>
  <c r="F37" i="7"/>
  <c r="F43" i="7" s="1"/>
  <c r="F30" i="7"/>
  <c r="D69" i="7"/>
  <c r="D10" i="8"/>
  <c r="E10" i="7"/>
  <c r="E31" i="7" s="1"/>
  <c r="E67" i="7" s="1"/>
  <c r="D9" i="7"/>
  <c r="F8" i="7"/>
  <c r="B29" i="7"/>
  <c r="B32" i="7" s="1"/>
  <c r="B34" i="7" s="1"/>
  <c r="B44" i="7" s="1"/>
  <c r="B45" i="7" s="1"/>
  <c r="B47" i="7" s="1"/>
  <c r="C69" i="7"/>
  <c r="C80" i="7" s="1"/>
  <c r="C85" i="7" s="1"/>
  <c r="C86" i="7" s="1"/>
  <c r="C29" i="7" s="1"/>
  <c r="C32" i="7" s="1"/>
  <c r="E66" i="7"/>
  <c r="E43" i="7"/>
  <c r="E17" i="7"/>
  <c r="E18" i="7"/>
  <c r="E19" i="7" s="1"/>
  <c r="E64" i="7" s="1"/>
  <c r="D76" i="7"/>
  <c r="D78" i="7" s="1"/>
  <c r="F9" i="8"/>
  <c r="E68" i="7"/>
  <c r="F13" i="7"/>
  <c r="F16" i="7" s="1"/>
  <c r="E5" i="8"/>
  <c r="E6" i="8" s="1"/>
  <c r="E7" i="8" s="1"/>
  <c r="D24" i="7"/>
  <c r="D26" i="7" s="1"/>
  <c r="E51" i="7"/>
  <c r="F68" i="7" l="1"/>
  <c r="F66" i="7"/>
  <c r="D80" i="7"/>
  <c r="D11" i="8"/>
  <c r="D19" i="8" s="1"/>
  <c r="F10" i="7"/>
  <c r="F31" i="7" s="1"/>
  <c r="F67" i="7" s="1"/>
  <c r="E9" i="7"/>
  <c r="C34" i="7"/>
  <c r="C44" i="7" s="1"/>
  <c r="C45" i="7" s="1"/>
  <c r="C47" i="7" s="1"/>
  <c r="D84" i="7"/>
  <c r="E10" i="8"/>
  <c r="F17" i="7"/>
  <c r="E76" i="7"/>
  <c r="E78" i="7" s="1"/>
  <c r="F18" i="7"/>
  <c r="F19" i="7" s="1"/>
  <c r="F64" i="7" s="1"/>
  <c r="F5" i="8"/>
  <c r="F6" i="8" s="1"/>
  <c r="F7" i="8" s="1"/>
  <c r="E53" i="7"/>
  <c r="D85" i="7" l="1"/>
  <c r="F10" i="8"/>
  <c r="F9" i="7"/>
  <c r="F76" i="7"/>
  <c r="F78" i="7" s="1"/>
  <c r="E54" i="7"/>
  <c r="E65" i="7"/>
  <c r="D86" i="7" l="1"/>
  <c r="D29" i="7" s="1"/>
  <c r="D32" i="7" s="1"/>
  <c r="D34" i="7" s="1"/>
  <c r="D44" i="7" s="1"/>
  <c r="D45" i="7" s="1"/>
  <c r="D47" i="7" s="1"/>
  <c r="E8" i="8"/>
  <c r="E11" i="8" s="1"/>
  <c r="E19" i="8" s="1"/>
  <c r="E69" i="7"/>
  <c r="E80" i="7" s="1"/>
  <c r="E85" i="7" s="1"/>
  <c r="F51" i="7"/>
  <c r="F53" i="7" s="1"/>
  <c r="E24" i="7"/>
  <c r="E26" i="7" s="1"/>
  <c r="E84" i="7" l="1"/>
  <c r="F54" i="7"/>
  <c r="F24" i="7" s="1"/>
  <c r="F26" i="7" s="1"/>
  <c r="F65" i="7"/>
  <c r="E86" i="7" l="1"/>
  <c r="F8" i="8"/>
  <c r="F11" i="8" s="1"/>
  <c r="F69" i="7"/>
  <c r="F80" i="7" s="1"/>
  <c r="F85" i="7" s="1"/>
  <c r="E29" i="7" l="1"/>
  <c r="E32" i="7" s="1"/>
  <c r="E34" i="7" s="1"/>
  <c r="E44" i="7" s="1"/>
  <c r="E45" i="7" s="1"/>
  <c r="E47" i="7" s="1"/>
  <c r="F84" i="7"/>
  <c r="B23" i="8"/>
  <c r="B24" i="8" s="1"/>
  <c r="F19" i="8"/>
  <c r="B21" i="8" s="1"/>
  <c r="F86" i="7" l="1"/>
  <c r="F29" i="7" s="1"/>
  <c r="F32" i="7" s="1"/>
  <c r="F34" i="7" s="1"/>
  <c r="F44" i="7" s="1"/>
  <c r="F45" i="7" s="1"/>
  <c r="F47" i="7" s="1"/>
  <c r="B26" i="8"/>
  <c r="B30" i="8" s="1"/>
  <c r="B33" i="8" s="1"/>
  <c r="B34" i="8" s="1"/>
  <c r="B4" i="9" l="1"/>
  <c r="C11" i="4"/>
  <c r="C14" i="4" s="1"/>
  <c r="B39" i="8"/>
  <c r="B16"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Buzwekazi</author>
  </authors>
  <commentList>
    <comment ref="A5" authorId="0" shapeId="0" xr:uid="{0B2FC7F3-51D3-4E4F-B9CE-8BFE5E64CEBB}">
      <text>
        <r>
          <rPr>
            <b/>
            <sz val="9"/>
            <color indexed="81"/>
            <rFont val="Tahoma"/>
            <family val="2"/>
          </rPr>
          <t>Buzwekazi:</t>
        </r>
        <r>
          <rPr>
            <sz val="9"/>
            <color indexed="81"/>
            <rFont val="Tahoma"/>
            <family val="2"/>
          </rPr>
          <t xml:space="preserve">
CAPEX assumed at 1.5% of revenue, consistent with recent investment levels and steady-state store maintenance and expansion.</t>
        </r>
      </text>
    </comment>
    <comment ref="D24" authorId="0" shapeId="0" xr:uid="{14749033-8066-43A2-B458-1A45670CB881}">
      <text>
        <r>
          <rPr>
            <b/>
            <sz val="9"/>
            <color indexed="81"/>
            <rFont val="Tahoma"/>
            <family val="2"/>
          </rPr>
          <t>Buzwekazi:</t>
        </r>
        <r>
          <rPr>
            <sz val="9"/>
            <color indexed="81"/>
            <rFont val="Tahoma"/>
            <family val="2"/>
          </rPr>
          <t xml:space="preserve">
Discrepancies likely due to disposals, leases, or reclassifications</t>
        </r>
      </text>
    </comment>
    <comment ref="A68" authorId="0" shapeId="0" xr:uid="{C2A85D8A-A8F1-4D63-BEE8-A7BBBB090DC5}">
      <text>
        <r>
          <rPr>
            <b/>
            <sz val="9"/>
            <color indexed="81"/>
            <rFont val="Tahoma"/>
            <charset val="1"/>
          </rPr>
          <t>Buzwekazi:</t>
        </r>
        <r>
          <rPr>
            <sz val="9"/>
            <color indexed="81"/>
            <rFont val="Tahoma"/>
            <charset val="1"/>
          </rPr>
          <t xml:space="preserve">
Revenue growth driven by store expansion, supported by moderate LFL growth and stable pricing</t>
        </r>
      </text>
    </comment>
    <comment ref="D70" authorId="0" shapeId="0" xr:uid="{AB7707D3-D7F6-421D-ADD5-2E5AE81A2EF7}">
      <text>
        <r>
          <rPr>
            <b/>
            <sz val="9"/>
            <color indexed="81"/>
            <rFont val="Tahoma"/>
            <family val="2"/>
          </rPr>
          <t>Buzwekazi:</t>
        </r>
        <r>
          <rPr>
            <sz val="9"/>
            <color indexed="81"/>
            <rFont val="Tahoma"/>
            <family val="2"/>
          </rPr>
          <t xml:space="preserve">
Taken from Mr Price Integrated Report (Comparable Sales Growth)</t>
        </r>
      </text>
    </comment>
    <comment ref="B77" authorId="0" shapeId="0" xr:uid="{F5EEE4D4-CD63-4B31-8265-7652B6A6A780}">
      <text>
        <r>
          <rPr>
            <b/>
            <sz val="9"/>
            <color indexed="81"/>
            <rFont val="Tahoma"/>
            <family val="2"/>
          </rPr>
          <t>Buzwekazi:</t>
        </r>
        <r>
          <rPr>
            <sz val="9"/>
            <color indexed="81"/>
            <rFont val="Tahoma"/>
            <family val="2"/>
          </rPr>
          <t xml:space="preserve">
Store growth of 3.5% in FY26 reflects a modest slowdown from FY25’s 4% YoY increase in store count, consistent with the declining expansion trend observed in recent years</t>
        </r>
      </text>
    </comment>
    <comment ref="C77" authorId="0" shapeId="0" xr:uid="{5B25248F-97BB-4D4A-843C-4E0FB3384A48}">
      <text>
        <r>
          <rPr>
            <b/>
            <sz val="9"/>
            <color indexed="81"/>
            <rFont val="Tahoma"/>
            <family val="2"/>
          </rPr>
          <t>Buzwekazi:</t>
        </r>
        <r>
          <rPr>
            <sz val="9"/>
            <color indexed="81"/>
            <rFont val="Tahoma"/>
            <family val="2"/>
          </rPr>
          <t xml:space="preserve">
FY26 LFL growth of 2% reflects stabilisation following recent recovery in same-store sales</t>
        </r>
      </text>
    </comment>
    <comment ref="D77" authorId="0" shapeId="0" xr:uid="{D14E8798-B587-4DE0-A88A-B98D1685F722}">
      <text>
        <r>
          <rPr>
            <b/>
            <sz val="9"/>
            <color indexed="81"/>
            <rFont val="Tahoma"/>
            <family val="2"/>
          </rPr>
          <t>Buzwekazi:</t>
        </r>
        <r>
          <rPr>
            <sz val="9"/>
            <color indexed="81"/>
            <rFont val="Tahoma"/>
            <family val="2"/>
          </rPr>
          <t xml:space="preserve">
A portion of forecast revenue growth is assumed to be driven by inflation-linked retail price adjustments reflecting partial pass-through of sourcing cost pressures in order to maintain operating margins</t>
        </r>
      </text>
    </comment>
    <comment ref="A84" authorId="0" shapeId="0" xr:uid="{100D54D3-F745-4D34-AF86-4494E4A188DC}">
      <text>
        <r>
          <rPr>
            <b/>
            <sz val="9"/>
            <color indexed="81"/>
            <rFont val="Tahoma"/>
            <charset val="1"/>
          </rPr>
          <t>Buzwekazi:</t>
        </r>
        <r>
          <rPr>
            <sz val="9"/>
            <color indexed="81"/>
            <rFont val="Tahoma"/>
            <charset val="1"/>
          </rPr>
          <t xml:space="preserve">
Growth moderates from post-COVID recovery levels as store expansion slows and SA consumer demand remains constrained.</t>
        </r>
      </text>
    </comment>
    <comment ref="A132" authorId="0" shapeId="0" xr:uid="{545A5288-F0F6-4F74-A103-1D4154DB48F5}">
      <text>
        <r>
          <rPr>
            <b/>
            <sz val="9"/>
            <color indexed="81"/>
            <rFont val="Tahoma"/>
            <family val="2"/>
          </rPr>
          <t>Buzwekazi:</t>
        </r>
        <r>
          <rPr>
            <sz val="9"/>
            <color indexed="81"/>
            <rFont val="Tahoma"/>
            <family val="2"/>
          </rPr>
          <t xml:space="preserve">
Margins stabilize following supply chain normalisation and moderating promotional activity.</t>
        </r>
      </text>
    </comment>
    <comment ref="A147" authorId="0" shapeId="0" xr:uid="{AB4A0166-7E92-4EEE-A786-9FEA57BBD2EA}">
      <text>
        <r>
          <rPr>
            <b/>
            <sz val="9"/>
            <color indexed="81"/>
            <rFont val="Tahoma"/>
            <family val="2"/>
          </rPr>
          <t>Buzwekazi:</t>
        </r>
        <r>
          <rPr>
            <sz val="9"/>
            <color indexed="81"/>
            <rFont val="Tahoma"/>
            <family val="2"/>
          </rPr>
          <t xml:space="preserve">
Dividend payout ratio assumed at 60%, reflecting recent historical payout behavior while maintaining earnings retention for reinvestment</t>
        </r>
      </text>
    </comment>
    <comment ref="A194" authorId="0" shapeId="0" xr:uid="{1D2E10D5-B1D3-49A9-A564-CB3505DE1C4A}">
      <text>
        <r>
          <rPr>
            <b/>
            <sz val="9"/>
            <color indexed="81"/>
            <rFont val="Tahoma"/>
            <family val="2"/>
          </rPr>
          <t>Buzwekazi:</t>
        </r>
        <r>
          <rPr>
            <sz val="9"/>
            <color indexed="81"/>
            <rFont val="Tahoma"/>
            <family val="2"/>
          </rPr>
          <t xml:space="preserve">
OpEx % calculated using clean cash operating expenses.</t>
        </r>
      </text>
    </comment>
    <comment ref="B194" authorId="0" shapeId="0" xr:uid="{B4F71994-A8D3-4922-A178-FF00A182CBEF}">
      <text>
        <r>
          <rPr>
            <b/>
            <sz val="9"/>
            <color indexed="81"/>
            <rFont val="Tahoma"/>
            <family val="2"/>
          </rPr>
          <t>Buzwekazi:</t>
        </r>
        <r>
          <rPr>
            <sz val="9"/>
            <color indexed="81"/>
            <rFont val="Tahoma"/>
            <family val="2"/>
          </rPr>
          <t xml:space="preserve">
OpEx is assumed to remain elevated in the near term due to wage and cost inflation, before moderating as operating leverage and cost discipline improve</t>
        </r>
      </text>
    </comment>
    <comment ref="B219" authorId="0" shapeId="0" xr:uid="{40738458-5506-4A41-B3A5-44DDA9A997E9}">
      <text>
        <r>
          <rPr>
            <b/>
            <sz val="9"/>
            <color indexed="81"/>
            <rFont val="Tahoma"/>
            <family val="2"/>
          </rPr>
          <t>Buzwekazi:</t>
        </r>
        <r>
          <rPr>
            <sz val="9"/>
            <color indexed="81"/>
            <rFont val="Tahoma"/>
            <family val="2"/>
          </rPr>
          <t xml:space="preserve">
WACC derived using CAPM-based cost of equity and after-tax cost of debt.</t>
        </r>
      </text>
    </comment>
    <comment ref="C224" authorId="0" shapeId="0" xr:uid="{3C2DDE2B-4D46-40AD-8B7B-D72DC742BA07}">
      <text>
        <r>
          <rPr>
            <b/>
            <sz val="9"/>
            <color indexed="81"/>
            <rFont val="Tahoma"/>
            <family val="2"/>
          </rPr>
          <t>Buzwekazi:</t>
        </r>
        <r>
          <rPr>
            <sz val="9"/>
            <color indexed="81"/>
            <rFont val="Tahoma"/>
            <family val="2"/>
          </rPr>
          <t xml:space="preserve">
Based on Damodaran country equity risk premium for South Africa, adjusted for mature vs emerging market risk</t>
        </r>
      </text>
    </comment>
    <comment ref="C225" authorId="0" shapeId="0" xr:uid="{043C9DA8-54A5-4A84-90EA-7D681E6F730B}">
      <text>
        <r>
          <rPr>
            <b/>
            <sz val="9"/>
            <color indexed="81"/>
            <rFont val="Tahoma"/>
            <family val="2"/>
          </rPr>
          <t>Buzwekazi:</t>
        </r>
        <r>
          <rPr>
            <sz val="9"/>
            <color indexed="81"/>
            <rFont val="Tahoma"/>
            <family val="2"/>
          </rPr>
          <t xml:space="preserve">
Cash-adjusted unlevered industry beta relevered to Mr Price target capital structure</t>
        </r>
      </text>
    </comment>
    <comment ref="C226" authorId="0" shapeId="0" xr:uid="{50E2591F-698B-4F5F-AFC5-76FA899FE54E}">
      <text>
        <r>
          <rPr>
            <b/>
            <sz val="9"/>
            <color indexed="81"/>
            <rFont val="Tahoma"/>
            <family val="2"/>
          </rPr>
          <t>Buzwekazi:</t>
        </r>
        <r>
          <rPr>
            <sz val="9"/>
            <color indexed="81"/>
            <rFont val="Tahoma"/>
            <family val="2"/>
          </rPr>
          <t xml:space="preserve">
SA 10-year government bond yield (7.94%) plus ~1.56% corporate credit spread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Buzwekazi</author>
  </authors>
  <commentList>
    <comment ref="A12" authorId="0" shapeId="0" xr:uid="{2A3A4D0E-9523-4C2B-ABBB-93C413F5F0A4}">
      <text>
        <r>
          <rPr>
            <b/>
            <sz val="9"/>
            <color indexed="81"/>
            <rFont val="Tahoma"/>
            <family val="2"/>
          </rPr>
          <t>Buzwekazi:</t>
        </r>
        <r>
          <rPr>
            <sz val="9"/>
            <color indexed="81"/>
            <rFont val="Tahoma"/>
            <family val="2"/>
          </rPr>
          <t xml:space="preserve">
No recurring group-level other income disclosed; company-level items eliminated on consolidation</t>
        </r>
      </text>
    </comment>
    <comment ref="A39" authorId="0" shapeId="0" xr:uid="{53339720-58E8-40ED-BEA1-9187BD1F74A1}">
      <text>
        <r>
          <rPr>
            <b/>
            <sz val="9"/>
            <color indexed="81"/>
            <rFont val="Tahoma"/>
            <family val="2"/>
          </rPr>
          <t>Buzwekazi:</t>
        </r>
        <r>
          <rPr>
            <sz val="9"/>
            <color indexed="81"/>
            <rFont val="Tahoma"/>
            <family val="2"/>
          </rPr>
          <t xml:space="preserve">
Includes ROU, PPE and Intangibles - Found in Note 4 (Profit from operating Activities/  Profit Before Finance Costs and Finance Income)
</t>
        </r>
      </text>
    </comment>
    <comment ref="A41" authorId="0" shapeId="0" xr:uid="{16D3A316-5845-404E-99F7-AB9D4F0EA6FB}">
      <text>
        <r>
          <rPr>
            <b/>
            <sz val="9"/>
            <color indexed="81"/>
            <rFont val="Tahoma"/>
            <family val="2"/>
          </rPr>
          <t>Buzwekazi:</t>
        </r>
        <r>
          <rPr>
            <sz val="9"/>
            <color indexed="81"/>
            <rFont val="Tahoma"/>
            <family val="2"/>
          </rPr>
          <t xml:space="preserve">
Replacement, Addition of PPE and Intangibles, and Proceeds on disposal of PPE (Cash Flow Statement)</t>
        </r>
      </text>
    </comment>
    <comment ref="A45" authorId="0" shapeId="0" xr:uid="{743E4AA1-70DE-448E-BAF1-BAA68141FCFD}">
      <text>
        <r>
          <rPr>
            <b/>
            <sz val="9"/>
            <color indexed="81"/>
            <rFont val="Tahoma"/>
            <family val="2"/>
          </rPr>
          <t>Buzwekazi:</t>
        </r>
        <r>
          <rPr>
            <sz val="9"/>
            <color indexed="81"/>
            <rFont val="Tahoma"/>
            <family val="2"/>
          </rPr>
          <t xml:space="preserve">
Lease principle repayments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Buzwekazi</author>
  </authors>
  <commentList>
    <comment ref="A4" authorId="0" shapeId="0" xr:uid="{7458A72B-F980-49EF-B1DA-0F9A99472749}">
      <text>
        <r>
          <rPr>
            <b/>
            <sz val="9"/>
            <color indexed="81"/>
            <rFont val="Tahoma"/>
            <family val="2"/>
          </rPr>
          <t>Buzwekazi:</t>
        </r>
        <r>
          <rPr>
            <sz val="9"/>
            <color indexed="81"/>
            <rFont val="Tahoma"/>
            <family val="2"/>
          </rPr>
          <t xml:space="preserve">
Growth moderates post-COVID as base effects fade and consumer demand normalises</t>
        </r>
      </text>
    </comment>
    <comment ref="A5" authorId="0" shapeId="0" xr:uid="{CE524B74-0A01-4B10-B3B2-A42EB94E245C}">
      <text>
        <r>
          <rPr>
            <b/>
            <sz val="9"/>
            <color indexed="81"/>
            <rFont val="Tahoma"/>
            <family val="2"/>
          </rPr>
          <t>Buzwekazi:</t>
        </r>
        <r>
          <rPr>
            <sz val="9"/>
            <color indexed="81"/>
            <rFont val="Tahoma"/>
            <family val="2"/>
          </rPr>
          <t xml:space="preserve">
Gross profit growth broadly tracks revenue, with variation reflecting margin compression and recovery.</t>
        </r>
      </text>
    </comment>
    <comment ref="A8" authorId="0" shapeId="0" xr:uid="{B8F85C60-6638-4FC7-A262-F5E6E5B7C232}">
      <text>
        <r>
          <rPr>
            <b/>
            <sz val="9"/>
            <color indexed="81"/>
            <rFont val="Tahoma"/>
            <family val="2"/>
          </rPr>
          <t>Buzwekazi:</t>
        </r>
        <r>
          <rPr>
            <sz val="9"/>
            <color indexed="81"/>
            <rFont val="Tahoma"/>
            <family val="2"/>
          </rPr>
          <t xml:space="preserve">
Margin compression in FY23–FY24 reflects higher input costs and promotional intensity, with partial recovery in FY25</t>
        </r>
      </text>
    </comment>
    <comment ref="A9" authorId="0" shapeId="0" xr:uid="{4F21FAC9-5FE7-40D4-BF0A-54318A23ECF9}">
      <text>
        <r>
          <rPr>
            <b/>
            <sz val="9"/>
            <color indexed="81"/>
            <rFont val="Tahoma"/>
            <family val="2"/>
          </rPr>
          <t>Buzwekazi:</t>
        </r>
        <r>
          <rPr>
            <sz val="9"/>
            <color indexed="81"/>
            <rFont val="Tahoma"/>
            <family val="2"/>
          </rPr>
          <t xml:space="preserve">
OpEx intensity rises as revenue growth slows while store and labour costs remain inflationary, indicating operating deleverage</t>
        </r>
      </text>
    </comment>
    <comment ref="A10" authorId="0" shapeId="0" xr:uid="{9598CBD3-A686-4337-8C99-DF234179EDC6}">
      <text>
        <r>
          <rPr>
            <b/>
            <sz val="9"/>
            <color indexed="81"/>
            <rFont val="Tahoma"/>
            <family val="2"/>
          </rPr>
          <t>Buzwekazi:</t>
        </r>
        <r>
          <rPr>
            <sz val="9"/>
            <color indexed="81"/>
            <rFont val="Tahoma"/>
            <family val="2"/>
          </rPr>
          <t xml:space="preserve">
EBIT margin squeezed by lower gross margin and higher OpEx intensity, with stabilisation in FY25.</t>
        </r>
      </text>
    </comment>
    <comment ref="A13" authorId="0" shapeId="0" xr:uid="{E0F5A5D3-DF0E-4B0F-8880-15365E611FCA}">
      <text>
        <r>
          <rPr>
            <b/>
            <sz val="9"/>
            <color indexed="81"/>
            <rFont val="Tahoma"/>
            <family val="2"/>
          </rPr>
          <t>Buzwekazi:</t>
        </r>
        <r>
          <rPr>
            <sz val="9"/>
            <color indexed="81"/>
            <rFont val="Tahoma"/>
            <family val="2"/>
          </rPr>
          <t xml:space="preserve">
Calculated as Inventories ÷ Cost of Sales × 365. Spike in FY23 largely due to supply chain disruption and weaker demand; subsequent normalisation observed.</t>
        </r>
      </text>
    </comment>
    <comment ref="A14" authorId="0" shapeId="0" xr:uid="{252DCBD7-AFC6-402A-AF3D-95A57EE95FB9}">
      <text>
        <r>
          <rPr>
            <b/>
            <sz val="9"/>
            <color indexed="81"/>
            <rFont val="Tahoma"/>
            <family val="2"/>
          </rPr>
          <t>Buzwekazi:</t>
        </r>
        <r>
          <rPr>
            <sz val="9"/>
            <color indexed="81"/>
            <rFont val="Tahoma"/>
            <family val="2"/>
          </rPr>
          <t xml:space="preserve">
Calculated as Trade Receivables ÷ Revenue × 365. Low and declining levels consistent with predominantly cash/card retail sales.</t>
        </r>
      </text>
    </comment>
    <comment ref="A15" authorId="0" shapeId="0" xr:uid="{284B8B13-5AFE-4535-AA7F-1E1097A27BF0}">
      <text>
        <r>
          <rPr>
            <b/>
            <sz val="9"/>
            <color indexed="81"/>
            <rFont val="Tahoma"/>
            <family val="2"/>
          </rPr>
          <t>Buzwekazi:</t>
        </r>
        <r>
          <rPr>
            <sz val="9"/>
            <color indexed="81"/>
            <rFont val="Tahoma"/>
            <family val="2"/>
          </rPr>
          <t xml:space="preserve">
Calculated as Trade Payables ÷ Cost of Sales × 365. Increase reflects improved supplier terms and use of trade credit as a funding source.</t>
        </r>
      </text>
    </comment>
    <comment ref="A16" authorId="0" shapeId="0" xr:uid="{E9BAD245-84F4-44F1-88B3-AB03261F9023}">
      <text>
        <r>
          <rPr>
            <b/>
            <sz val="9"/>
            <color indexed="81"/>
            <rFont val="Tahoma"/>
            <family val="2"/>
          </rPr>
          <t>Buzwekazi:</t>
        </r>
        <r>
          <rPr>
            <sz val="9"/>
            <color indexed="81"/>
            <rFont val="Tahoma"/>
            <family val="2"/>
          </rPr>
          <t xml:space="preserve">
Sum of inventory and receivable days less payable days. Worsening in FY23 driven by inventory build-up; improvement thereafter supported by supplier financing.</t>
        </r>
      </text>
    </comment>
    <comment ref="A19" authorId="0" shapeId="0" xr:uid="{60D6D1CA-09F1-4F2D-826C-8D13C9654681}">
      <text>
        <r>
          <rPr>
            <b/>
            <sz val="9"/>
            <color indexed="81"/>
            <rFont val="Tahoma"/>
            <family val="2"/>
          </rPr>
          <t>Buzwekazi:</t>
        </r>
        <r>
          <rPr>
            <sz val="9"/>
            <color indexed="81"/>
            <rFont val="Tahoma"/>
            <family val="2"/>
          </rPr>
          <t xml:space="preserve">
Capex intensity remains low and broadly stable, consistent with a store-based retailer focused on maintenance and selective expansion</t>
        </r>
      </text>
    </comment>
    <comment ref="A20" authorId="0" shapeId="0" xr:uid="{1D7EAC1E-61AA-49C1-801D-044FF97DF4E3}">
      <text>
        <r>
          <rPr>
            <b/>
            <sz val="9"/>
            <color indexed="81"/>
            <rFont val="Tahoma"/>
            <family val="2"/>
          </rPr>
          <t>Buzwekazi:</t>
        </r>
        <r>
          <rPr>
            <sz val="9"/>
            <color indexed="81"/>
            <rFont val="Tahoma"/>
            <family val="2"/>
          </rPr>
          <t xml:space="preserve">
Lower payout in FY21 reflects conservative capital allocation amid uncertainty, despite relatively strong operating profitability.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Buzwekazi</author>
  </authors>
  <commentList>
    <comment ref="A39" authorId="0" shapeId="0" xr:uid="{E9FE4C01-DF1C-4527-A2CC-86A6E64E397F}">
      <text>
        <r>
          <rPr>
            <b/>
            <sz val="9"/>
            <color indexed="81"/>
            <rFont val="Tahoma"/>
            <family val="2"/>
          </rPr>
          <t>Buzwekazi:</t>
        </r>
        <r>
          <rPr>
            <sz val="9"/>
            <color indexed="81"/>
            <rFont val="Tahoma"/>
            <family val="2"/>
          </rPr>
          <t xml:space="preserve">
Lease balances held constant at FY25 levels. Lease additions assumed to offset repayments</t>
        </r>
      </text>
    </comment>
    <comment ref="A77" authorId="0" shapeId="0" xr:uid="{FDCAE3CC-8F02-4189-BD8C-0184C88BF69F}">
      <text>
        <r>
          <rPr>
            <b/>
            <sz val="9"/>
            <color indexed="81"/>
            <rFont val="Tahoma"/>
            <family val="2"/>
          </rPr>
          <t>Buzwekazi:</t>
        </r>
        <r>
          <rPr>
            <sz val="9"/>
            <color indexed="81"/>
            <rFont val="Tahoma"/>
            <family val="2"/>
          </rPr>
          <t xml:space="preserve">
Lease liability repayment assumed constant at FY25 level due to limited forward lease disclosure.</t>
        </r>
      </text>
    </comment>
  </commentList>
</comments>
</file>

<file path=xl/sharedStrings.xml><?xml version="1.0" encoding="utf-8"?>
<sst xmlns="http://schemas.openxmlformats.org/spreadsheetml/2006/main" count="483" uniqueCount="347">
  <si>
    <t>R'm (Group)</t>
  </si>
  <si>
    <t>FY2025 (Calculated)</t>
  </si>
  <si>
    <t>Difference</t>
  </si>
  <si>
    <t>FY2021</t>
  </si>
  <si>
    <t>FY2022</t>
  </si>
  <si>
    <t>FY2023</t>
  </si>
  <si>
    <t>FY2024</t>
  </si>
  <si>
    <t>FY2025</t>
  </si>
  <si>
    <t>CAPEX= Ending PPE + Depreciation - Beginning PPE</t>
  </si>
  <si>
    <t xml:space="preserve">Ending PPE </t>
  </si>
  <si>
    <t>Beginning PPE</t>
  </si>
  <si>
    <t>Change in PPE</t>
  </si>
  <si>
    <t>Depreciation</t>
  </si>
  <si>
    <t>CAPEX (Calculated)</t>
  </si>
  <si>
    <t>CAPEX (Reported)</t>
  </si>
  <si>
    <t>CAPEX Assumption</t>
  </si>
  <si>
    <t xml:space="preserve">Revenue </t>
  </si>
  <si>
    <t>CAPEX (Additions)</t>
  </si>
  <si>
    <t>CAPEX/ Revenue (%)</t>
  </si>
  <si>
    <t>FY22 YoY Growth</t>
  </si>
  <si>
    <t>FY23 YoY Growth</t>
  </si>
  <si>
    <t>FY24 YoY Growth</t>
  </si>
  <si>
    <t>Profitability Assumption</t>
  </si>
  <si>
    <t>Gross Profit (Calculated)</t>
  </si>
  <si>
    <t>Gross Profit Margin (%)</t>
  </si>
  <si>
    <t>DSO Historical Calculation (Trade Receivables)</t>
  </si>
  <si>
    <t xml:space="preserve">Average </t>
  </si>
  <si>
    <t xml:space="preserve">Gross Trade Receivables </t>
  </si>
  <si>
    <t xml:space="preserve">Credit Sales </t>
  </si>
  <si>
    <t>DSO (Days) * 365</t>
  </si>
  <si>
    <t>DOH Historical Calculation (Inventory Management)</t>
  </si>
  <si>
    <t xml:space="preserve">Inventory </t>
  </si>
  <si>
    <t xml:space="preserve">Cost of Sales </t>
  </si>
  <si>
    <t>DOH (Days) * 365</t>
  </si>
  <si>
    <t>DPO Historical Calculation (Trade Payables)</t>
  </si>
  <si>
    <t>Average</t>
  </si>
  <si>
    <t xml:space="preserve">Trade Payables </t>
  </si>
  <si>
    <t>DPO (Days) * 365</t>
  </si>
  <si>
    <t>OpEx Assumption</t>
  </si>
  <si>
    <t>Selling Expenses</t>
  </si>
  <si>
    <t>Administrative and other expenses</t>
  </si>
  <si>
    <t>Total Statutory OpEx</t>
  </si>
  <si>
    <t xml:space="preserve">Total Revenue </t>
  </si>
  <si>
    <t xml:space="preserve">OpEx % of Revenue </t>
  </si>
  <si>
    <t>Less: Depreciation &amp; Amortization (excl. ROU assets)</t>
  </si>
  <si>
    <t>Component</t>
  </si>
  <si>
    <t>Value</t>
  </si>
  <si>
    <t>Rationale / Source</t>
  </si>
  <si>
    <t>Equity Risk Premium</t>
  </si>
  <si>
    <t>Yield on the SA 10-year Government Bond (R2030).</t>
  </si>
  <si>
    <t xml:space="preserve">Beta </t>
  </si>
  <si>
    <t xml:space="preserve">Pre-tax cost of debt </t>
  </si>
  <si>
    <t>Tax Rate</t>
  </si>
  <si>
    <t>Current South African Corporate Tax Rate.</t>
  </si>
  <si>
    <t>After-Tax Cost of Debt (Kd): Calculated as Pre-tax Debt(1 - Tax Rate)=</t>
  </si>
  <si>
    <t>Debt (Wd)</t>
  </si>
  <si>
    <t>Equity (We)</t>
  </si>
  <si>
    <t xml:space="preserve">Cost of Equity (Ke): Calculated via CAPM= </t>
  </si>
  <si>
    <t>The WACC Assumption</t>
  </si>
  <si>
    <t>Damodaran (NYU Stern), South Africa ERP.</t>
  </si>
  <si>
    <t>Damodaran industry beta (Apparel – Emerging Markets).</t>
  </si>
  <si>
    <t>SA 10-year bond yield + corporate credit spread.</t>
  </si>
  <si>
    <t xml:space="preserve">Income Statement </t>
  </si>
  <si>
    <t>Line Item</t>
  </si>
  <si>
    <t xml:space="preserve">Gross Profit </t>
  </si>
  <si>
    <t xml:space="preserve">Other income </t>
  </si>
  <si>
    <t>Operating Profit (EBIT)</t>
  </si>
  <si>
    <t xml:space="preserve">Total Operating Expenses </t>
  </si>
  <si>
    <t xml:space="preserve">Administrative &amp; Other Expenses </t>
  </si>
  <si>
    <t>Balance Sheet</t>
  </si>
  <si>
    <t xml:space="preserve">MR Price Group </t>
  </si>
  <si>
    <t xml:space="preserve">Historical Results </t>
  </si>
  <si>
    <t>2021A</t>
  </si>
  <si>
    <t>2022A</t>
  </si>
  <si>
    <t>2023A</t>
  </si>
  <si>
    <t>2024A</t>
  </si>
  <si>
    <t>2025A</t>
  </si>
  <si>
    <t>2026E</t>
  </si>
  <si>
    <t>2027E</t>
  </si>
  <si>
    <t>2028E</t>
  </si>
  <si>
    <t xml:space="preserve">Non-Current Assets </t>
  </si>
  <si>
    <t>Property, Plant and Equipment (Net)</t>
  </si>
  <si>
    <t xml:space="preserve">Intangible Assets </t>
  </si>
  <si>
    <t xml:space="preserve">Current Assets </t>
  </si>
  <si>
    <t xml:space="preserve">Inventories </t>
  </si>
  <si>
    <t xml:space="preserve">Current Liabilities </t>
  </si>
  <si>
    <t xml:space="preserve">Lease Items </t>
  </si>
  <si>
    <t xml:space="preserve">Right-of-Use Assets </t>
  </si>
  <si>
    <t xml:space="preserve">Lease Liabilities </t>
  </si>
  <si>
    <t>Forecast Period</t>
  </si>
  <si>
    <t xml:space="preserve">Cash Flow Statement </t>
  </si>
  <si>
    <t xml:space="preserve">Non-Cash Adjustments </t>
  </si>
  <si>
    <t>Total Depreciation and Amortization</t>
  </si>
  <si>
    <t>Investing Activities</t>
  </si>
  <si>
    <t>Net CAPEX (PPE + Intangibles)</t>
  </si>
  <si>
    <t>Acquisition (Studio 88)</t>
  </si>
  <si>
    <r>
      <rPr>
        <b/>
        <sz val="11"/>
        <color theme="1"/>
        <rFont val="Aptos Narrow"/>
        <family val="2"/>
        <scheme val="minor"/>
      </rPr>
      <t>Financing Activities</t>
    </r>
    <r>
      <rPr>
        <sz val="11"/>
        <color theme="1"/>
        <rFont val="Aptos Narrow"/>
        <family val="2"/>
        <scheme val="minor"/>
      </rPr>
      <t xml:space="preserve"> </t>
    </r>
  </si>
  <si>
    <t xml:space="preserve">Dividends Paid </t>
  </si>
  <si>
    <t>Trade and Other Receivables (operating)</t>
  </si>
  <si>
    <t>Trade and Other Payables (operating)</t>
  </si>
  <si>
    <t>Repayment of Lease Liability (capital portion)</t>
  </si>
  <si>
    <t>Mr Price Group</t>
  </si>
  <si>
    <t>Growth Ratios</t>
  </si>
  <si>
    <t>Revenue Growth %</t>
  </si>
  <si>
    <t>Gross Profit Growth %</t>
  </si>
  <si>
    <t xml:space="preserve">Margin Analysis </t>
  </si>
  <si>
    <t>Gross Margin %</t>
  </si>
  <si>
    <t>EBIT Margin %</t>
  </si>
  <si>
    <t xml:space="preserve">Working Capital Efficiency </t>
  </si>
  <si>
    <t xml:space="preserve">Inventory Days </t>
  </si>
  <si>
    <t xml:space="preserve">Debtor (Receivable) Days </t>
  </si>
  <si>
    <t xml:space="preserve">Creditor (Payable) Days </t>
  </si>
  <si>
    <t xml:space="preserve">Cash Conversion Cycle </t>
  </si>
  <si>
    <t>Investment Ratios</t>
  </si>
  <si>
    <t xml:space="preserve">Capex as % of Revenue </t>
  </si>
  <si>
    <t>Dividend Payout Ratio</t>
  </si>
  <si>
    <t xml:space="preserve">Less: Tax Expense </t>
  </si>
  <si>
    <t>Net Income</t>
  </si>
  <si>
    <t xml:space="preserve">Forecast Period </t>
  </si>
  <si>
    <t>Other Income</t>
  </si>
  <si>
    <t xml:space="preserve">Operating Expenses </t>
  </si>
  <si>
    <t>EBIT</t>
  </si>
  <si>
    <t xml:space="preserve">Net Income </t>
  </si>
  <si>
    <t>Less: Tax</t>
  </si>
  <si>
    <r>
      <rPr>
        <b/>
        <sz val="14"/>
        <color theme="1"/>
        <rFont val="Aptos Narrow"/>
        <family val="2"/>
        <scheme val="minor"/>
      </rPr>
      <t>Mr Price Group</t>
    </r>
    <r>
      <rPr>
        <sz val="14"/>
        <color theme="1"/>
        <rFont val="Aptos Narrow"/>
        <family val="2"/>
        <scheme val="minor"/>
      </rPr>
      <t xml:space="preserve"> -</t>
    </r>
    <r>
      <rPr>
        <b/>
        <sz val="14"/>
        <color theme="1"/>
        <rFont val="Aptos Narrow"/>
        <family val="2"/>
        <scheme val="minor"/>
      </rPr>
      <t xml:space="preserve"> Forecast (R'm)</t>
    </r>
  </si>
  <si>
    <t>All figures in R'm</t>
  </si>
  <si>
    <t>Forecast Financial Statements</t>
  </si>
  <si>
    <t xml:space="preserve">Total Non-Current Assets </t>
  </si>
  <si>
    <t>Receivables</t>
  </si>
  <si>
    <t xml:space="preserve">Total Current Assets </t>
  </si>
  <si>
    <t>Payables</t>
  </si>
  <si>
    <t>PPE Roll-Forward</t>
  </si>
  <si>
    <t>Opening PPE</t>
  </si>
  <si>
    <t xml:space="preserve">Closing PPE </t>
  </si>
  <si>
    <t xml:space="preserve"> +CAPEX</t>
  </si>
  <si>
    <t>Depreciation Assumption</t>
  </si>
  <si>
    <t xml:space="preserve"> -Depreciation </t>
  </si>
  <si>
    <t xml:space="preserve">PPE </t>
  </si>
  <si>
    <t>Intangibles Roll-Forward</t>
  </si>
  <si>
    <t>Opening Intangibles</t>
  </si>
  <si>
    <t xml:space="preserve"> - Amortization</t>
  </si>
  <si>
    <t xml:space="preserve">Closing Intangibles </t>
  </si>
  <si>
    <t xml:space="preserve">Intangible Amortization Rate </t>
  </si>
  <si>
    <t xml:space="preserve">Amortization Rate </t>
  </si>
  <si>
    <t>Cash Flow Statement</t>
  </si>
  <si>
    <t xml:space="preserve">Cash from Operating Activities </t>
  </si>
  <si>
    <t xml:space="preserve"> + Depreciation &amp; Amortization </t>
  </si>
  <si>
    <t xml:space="preserve">Change in Inventory </t>
  </si>
  <si>
    <t xml:space="preserve">Change in Receivables </t>
  </si>
  <si>
    <t xml:space="preserve">Change in Payables </t>
  </si>
  <si>
    <t xml:space="preserve">Cash From Investing Activites </t>
  </si>
  <si>
    <t>Capital Expenditure (CAPEX)</t>
  </si>
  <si>
    <t xml:space="preserve">Net Cash from Investing Activities </t>
  </si>
  <si>
    <t xml:space="preserve">Cash from Financing Activites </t>
  </si>
  <si>
    <t xml:space="preserve">Lease Liability Repayment </t>
  </si>
  <si>
    <t xml:space="preserve">Net Cash From Financing Activities </t>
  </si>
  <si>
    <t>Dividend Assumption</t>
  </si>
  <si>
    <t xml:space="preserve">Net Change in Cash </t>
  </si>
  <si>
    <t>Supporting Schedule</t>
  </si>
  <si>
    <t>Cash  Roll-Forward</t>
  </si>
  <si>
    <t>Opening Cash</t>
  </si>
  <si>
    <t xml:space="preserve"> + Net Change in Cash</t>
  </si>
  <si>
    <t xml:space="preserve">Closing Cash </t>
  </si>
  <si>
    <t>Cash</t>
  </si>
  <si>
    <t xml:space="preserve">Cash and Cash Equivalents </t>
  </si>
  <si>
    <t xml:space="preserve">Total Assets </t>
  </si>
  <si>
    <t>Total Liabilities</t>
  </si>
  <si>
    <t>Equity (Plug)</t>
  </si>
  <si>
    <t xml:space="preserve">Total Liabilities + Equity </t>
  </si>
  <si>
    <t>Balance Check</t>
  </si>
  <si>
    <t>2029E</t>
  </si>
  <si>
    <t>2030E</t>
  </si>
  <si>
    <t>Tax on EBIT</t>
  </si>
  <si>
    <t>NOPAT</t>
  </si>
  <si>
    <t>- CAPEX</t>
  </si>
  <si>
    <t xml:space="preserve">- Change in Working Capital </t>
  </si>
  <si>
    <t>FCFF</t>
  </si>
  <si>
    <t xml:space="preserve">+ Depreciation and Amortization </t>
  </si>
  <si>
    <t xml:space="preserve">Mr Price Group  (R'm)-DCF Valuation </t>
  </si>
  <si>
    <t>Unlevered Free Cash Flow (FCFF) (R'm)</t>
  </si>
  <si>
    <t>Notes:</t>
  </si>
  <si>
    <t>Tax rate from assumptions sheet</t>
  </si>
  <si>
    <t>CAPEX forecast as % of revenue</t>
  </si>
  <si>
    <t>Working capital based on days assumptions</t>
  </si>
  <si>
    <t xml:space="preserve">Discount Factor </t>
  </si>
  <si>
    <t>Present Value of FCFF</t>
  </si>
  <si>
    <t>Present Value of Terminal Value</t>
  </si>
  <si>
    <t xml:space="preserve">Enterprise Value </t>
  </si>
  <si>
    <t>Sum of PV of FCFF</t>
  </si>
  <si>
    <t>Terminal Value (2030)</t>
  </si>
  <si>
    <t xml:space="preserve">Bridge to Equity Value </t>
  </si>
  <si>
    <t>+ Cash (FY2025 Actual)</t>
  </si>
  <si>
    <t xml:space="preserve">Equity Value </t>
  </si>
  <si>
    <t>Implied Share Price = Equity Value / Shares</t>
  </si>
  <si>
    <t xml:space="preserve">Shares Outstanding (millions) </t>
  </si>
  <si>
    <t>- Lease Liabilities (IFRS 16)</t>
  </si>
  <si>
    <t xml:space="preserve">Share Price Sensitivity </t>
  </si>
  <si>
    <t xml:space="preserve">Terminal Growth </t>
  </si>
  <si>
    <t>WACC</t>
  </si>
  <si>
    <t>Revenue Growth</t>
  </si>
  <si>
    <t>Operational Sensitivity (Revenue Growth Vs OpEx %)</t>
  </si>
  <si>
    <t>OpEx %</t>
  </si>
  <si>
    <t xml:space="preserve">Scenario Table </t>
  </si>
  <si>
    <t xml:space="preserve">Revenue Growth Adj </t>
  </si>
  <si>
    <t xml:space="preserve">OpEx Adj </t>
  </si>
  <si>
    <t>WACC Adj</t>
  </si>
  <si>
    <t xml:space="preserve">Bull Case </t>
  </si>
  <si>
    <t xml:space="preserve">Base Case </t>
  </si>
  <si>
    <t xml:space="preserve">Bear Case </t>
  </si>
  <si>
    <t>Scenario Seclector (1=Bull, 2= Base, 3= Bear)</t>
  </si>
  <si>
    <t xml:space="preserve">1. Select Scenario </t>
  </si>
  <si>
    <t>MR PRICE GROUP (MRP) - VALUATION DASHBOARD</t>
  </si>
  <si>
    <t>Scenario Selection &amp; Key Valuation Outputs</t>
  </si>
  <si>
    <t>Implied Equity Value per Share:</t>
  </si>
  <si>
    <t>Total Upside / (Downside)</t>
  </si>
  <si>
    <t xml:space="preserve">Scenario Selection </t>
  </si>
  <si>
    <t xml:space="preserve">Intrinsic Value Summary </t>
  </si>
  <si>
    <t xml:space="preserve">Current Market Price (MRP): </t>
  </si>
  <si>
    <t xml:space="preserve">Live Scenario Assumptions </t>
  </si>
  <si>
    <t>Revenue Growth Adjustment</t>
  </si>
  <si>
    <t>Operating Expense (OpEx) Adjustment</t>
  </si>
  <si>
    <t>WACC / Discount Rate Adjustment</t>
  </si>
  <si>
    <r>
      <t>Terminal Growth (</t>
    </r>
    <r>
      <rPr>
        <sz val="11"/>
        <color theme="1"/>
        <rFont val="Arial"/>
        <family val="2"/>
      </rPr>
      <t>g</t>
    </r>
    <r>
      <rPr>
        <sz val="11"/>
        <color theme="1"/>
        <rFont val="Aptos Narrow"/>
        <family val="2"/>
        <scheme val="minor"/>
      </rPr>
      <t>) Adjustment</t>
    </r>
  </si>
  <si>
    <t xml:space="preserve">Terminal Growth Adjustment </t>
  </si>
  <si>
    <t>Year</t>
  </si>
  <si>
    <t>Store Growth</t>
  </si>
  <si>
    <t>LFL Growth</t>
  </si>
  <si>
    <t xml:space="preserve">Price </t>
  </si>
  <si>
    <t>Total Growth</t>
  </si>
  <si>
    <t xml:space="preserve">Year </t>
  </si>
  <si>
    <t xml:space="preserve">Stores </t>
  </si>
  <si>
    <t>YoY Growth (stores)</t>
  </si>
  <si>
    <t xml:space="preserve">LFL Sales Growth </t>
  </si>
  <si>
    <t>FY25 YoY Growth</t>
  </si>
  <si>
    <t>CAPEX as % of Revenue</t>
  </si>
  <si>
    <t>Driver</t>
  </si>
  <si>
    <t>Supporting Analysis - CAPEX</t>
  </si>
  <si>
    <t>CAPEX Intensity Analysis (% of Revenue)</t>
  </si>
  <si>
    <t xml:space="preserve">FY2021 </t>
  </si>
  <si>
    <t xml:space="preserve">FY2022 </t>
  </si>
  <si>
    <t xml:space="preserve">FY2023 </t>
  </si>
  <si>
    <t xml:space="preserve">FY2024 </t>
  </si>
  <si>
    <t>Historical range: 1,3% - 2,4%</t>
  </si>
  <si>
    <t xml:space="preserve">Value </t>
  </si>
  <si>
    <t xml:space="preserve">Depreciation </t>
  </si>
  <si>
    <t xml:space="preserve">Average PPE </t>
  </si>
  <si>
    <t>Depreciation %</t>
  </si>
  <si>
    <t>Depreciation (% of PPE)</t>
  </si>
  <si>
    <t>Historical range: 12% - 15% (avg ~13.5%–14.7%)</t>
  </si>
  <si>
    <t xml:space="preserve">Driver </t>
  </si>
  <si>
    <t xml:space="preserve">Amortization </t>
  </si>
  <si>
    <t xml:space="preserve">Average Intangibles </t>
  </si>
  <si>
    <t>Amortization (%)</t>
  </si>
  <si>
    <t xml:space="preserve">Ending Intangible Assets </t>
  </si>
  <si>
    <t xml:space="preserve">Beginning Intangible Assets </t>
  </si>
  <si>
    <t>Amortization Rate Analysis (% of Intangibles)</t>
  </si>
  <si>
    <t>Depreciation Rate Analysis (% of PPE)</t>
  </si>
  <si>
    <t>Historical range: 2,4% – 8,4% (declining trend; recent ~2,3%–2,9%)</t>
  </si>
  <si>
    <t xml:space="preserve">Revenue Growth Assumptions </t>
  </si>
  <si>
    <t>FY26 Revenue Growth (%)</t>
  </si>
  <si>
    <t>FY27 Revenue Growth (%)</t>
  </si>
  <si>
    <t>FY28 Revenue Growth (%)</t>
  </si>
  <si>
    <t>FY29 Revenue Growth (%)</t>
  </si>
  <si>
    <t>FY30 Revenue Growth (%)</t>
  </si>
  <si>
    <t>Terminal Growth Rate (%)</t>
  </si>
  <si>
    <t>Historical Revenue Growth Analysis</t>
  </si>
  <si>
    <t>Revenue Growth Driver Analysis</t>
  </si>
  <si>
    <t xml:space="preserve">Forward Gross Margin </t>
  </si>
  <si>
    <t xml:space="preserve">Profitability Historical Trend Analysis </t>
  </si>
  <si>
    <t>Historical range: 41.6% – 45.1% (recent stabilisation around ~42%–43%)</t>
  </si>
  <si>
    <t xml:space="preserve">Dividend Payout Analysis </t>
  </si>
  <si>
    <t>Payout Ratio</t>
  </si>
  <si>
    <t>Weighted Average Shares (m)</t>
  </si>
  <si>
    <t>Dividends Paid (R'm)</t>
  </si>
  <si>
    <t>DPS (R/share)</t>
  </si>
  <si>
    <t>EPS (R/share)</t>
  </si>
  <si>
    <r>
      <rPr>
        <b/>
        <sz val="12"/>
        <color theme="1"/>
        <rFont val="Aptos Narrow"/>
        <family val="2"/>
        <scheme val="minor"/>
      </rPr>
      <t>Working Capital Assumptions</t>
    </r>
    <r>
      <rPr>
        <sz val="12"/>
        <color theme="1"/>
        <rFont val="Aptos Narrow"/>
        <family val="2"/>
        <scheme val="minor"/>
      </rPr>
      <t xml:space="preserve"> </t>
    </r>
  </si>
  <si>
    <t>Forward DSO (days)</t>
  </si>
  <si>
    <t>Forward DOH (days)</t>
  </si>
  <si>
    <t>Forward DPO (days)</t>
  </si>
  <si>
    <t xml:space="preserve">Retail Sales </t>
  </si>
  <si>
    <t xml:space="preserve">Cash Sales </t>
  </si>
  <si>
    <t>Other revenue</t>
  </si>
  <si>
    <t xml:space="preserve">Cash sales </t>
  </si>
  <si>
    <t xml:space="preserve">Other revenue </t>
  </si>
  <si>
    <t xml:space="preserve">Credit Sales  Assumption </t>
  </si>
  <si>
    <t xml:space="preserve">FY26 Credit Sales (%) </t>
  </si>
  <si>
    <t xml:space="preserve">FY27 Credit Sales (%) </t>
  </si>
  <si>
    <t>FY28 Credit Sales (%)</t>
  </si>
  <si>
    <t>FY29 Credit Sales (%)</t>
  </si>
  <si>
    <t>FY30 Credit Sales (%(</t>
  </si>
  <si>
    <t xml:space="preserve">Retail sales </t>
  </si>
  <si>
    <t xml:space="preserve">Credit Sales Historical Analysis </t>
  </si>
  <si>
    <t>Credit Sales %</t>
  </si>
  <si>
    <t>Other Revenue Assumption (% of Total Revenue)</t>
  </si>
  <si>
    <t xml:space="preserve">FY26 Other Revenue </t>
  </si>
  <si>
    <t xml:space="preserve">FY27 Other Revenue </t>
  </si>
  <si>
    <t xml:space="preserve">FY28 Other Revenue </t>
  </si>
  <si>
    <t xml:space="preserve">FY29 Other Revenue </t>
  </si>
  <si>
    <t xml:space="preserve">FY30 Other Revenue </t>
  </si>
  <si>
    <t xml:space="preserve">Other Revenue Historical Trend Analysis </t>
  </si>
  <si>
    <t>Other revenue (% of Total revenue)</t>
  </si>
  <si>
    <t>Historical range: 3.6% – 5.0% (recent stabilisation around ~3.5%–4.0%)</t>
  </si>
  <si>
    <t>FY26 OpEx (% of Revenue)</t>
  </si>
  <si>
    <t>FY27 OpEx (% of Revenue)</t>
  </si>
  <si>
    <t>FY28 OpEx (% of Revenue)</t>
  </si>
  <si>
    <t>FY29 OpEx (% of Revenue)</t>
  </si>
  <si>
    <t>FY30 OpEx (% of Revenue)</t>
  </si>
  <si>
    <t xml:space="preserve">Historical OpEx Analysis </t>
  </si>
  <si>
    <t xml:space="preserve">Clean Cash OpEx Analysis </t>
  </si>
  <si>
    <t>Clean Cash OpEX</t>
  </si>
  <si>
    <t>Calculated Base Case WACC</t>
  </si>
  <si>
    <t>Supporting Formulae</t>
  </si>
  <si>
    <t>WACC= (We * Ke) + (Wd * Kd)</t>
  </si>
  <si>
    <t>CAPM (Ke)=  Rf + β(ERP)</t>
  </si>
  <si>
    <t xml:space="preserve">Scenario </t>
  </si>
  <si>
    <t xml:space="preserve">Market Price </t>
  </si>
  <si>
    <r>
      <rPr>
        <b/>
        <sz val="14"/>
        <color theme="1"/>
        <rFont val="Aptos Narrow"/>
        <family val="2"/>
        <scheme val="minor"/>
      </rPr>
      <t xml:space="preserve">Investment View </t>
    </r>
    <r>
      <rPr>
        <sz val="11"/>
        <color theme="1"/>
        <rFont val="Aptos Narrow"/>
        <family val="2"/>
        <scheme val="minor"/>
      </rPr>
      <t xml:space="preserve">
The valuation suggests that Mr Price may be undervalued relative to the current market price, supported by steady revenue growth, resilient cash generation, and gradual margin recovery over the forecast period. However, the valuation remains sensitive to long-term growth assumptions, operating cost pressures, and South African consumer spending conditions.</t>
    </r>
  </si>
  <si>
    <t>MR PRICE GROUP (MRP)</t>
  </si>
  <si>
    <t xml:space="preserve">Equity Research &amp; DCF Valuation Model </t>
  </si>
  <si>
    <t>Integrated 3-Statement Financial Model, DCF Valuation &amp; Sensitivity Analysis</t>
  </si>
  <si>
    <t xml:space="preserve">Company Snapshot </t>
  </si>
  <si>
    <t xml:space="preserve">Sector: Retail Apparell </t>
  </si>
  <si>
    <t>Exchange: JSE</t>
  </si>
  <si>
    <t>Currency: ZAR (R'm)</t>
  </si>
  <si>
    <t>Valuation Method: DCF (FCFF)</t>
  </si>
  <si>
    <t xml:space="preserve">Forecast Period: FY2026 - FY2030 </t>
  </si>
  <si>
    <t xml:space="preserve">Project Overview </t>
  </si>
  <si>
    <t>This project develops an integrated financial model and discounted cash flow valuation for Mr Price Group. The model includes historical financial statement analysis, forecast modelling, working capital schedules, DCF valuation, scenario analysis, and operational sensitivity testing</t>
  </si>
  <si>
    <t xml:space="preserve">Key Features </t>
  </si>
  <si>
    <t xml:space="preserve">Intergrated 3-statement model </t>
  </si>
  <si>
    <t xml:space="preserve">Dynamic working capital schedules </t>
  </si>
  <si>
    <t>DCF valuation using FCFF methodology</t>
  </si>
  <si>
    <t>WACC and terminal value analysis</t>
  </si>
  <si>
    <t>Bull/Base/Bear scenario analysis</t>
  </si>
  <si>
    <t>Sensitivity tables for WACC and terminal growth</t>
  </si>
  <si>
    <t>Interactive valuation dashboard</t>
  </si>
  <si>
    <t xml:space="preserve">Key Valuation Output </t>
  </si>
  <si>
    <t xml:space="preserve">Metric </t>
  </si>
  <si>
    <t xml:space="preserve">Base Case Implied Share Price </t>
  </si>
  <si>
    <t>Base Case Upside</t>
  </si>
  <si>
    <t xml:space="preserve">Terminal Growth Rate </t>
  </si>
  <si>
    <t>Prepared By: Buzwekazi George                                                                                                                       Prepared as part of a financial modelling portfolio project (2026)</t>
  </si>
  <si>
    <r>
      <t xml:space="preserve">Current Market Price </t>
    </r>
    <r>
      <rPr>
        <i/>
        <sz val="11"/>
        <color theme="1"/>
        <rFont val="Aptos Narrow"/>
        <family val="2"/>
        <scheme val="minor"/>
      </rPr>
      <t>(as at 26 May 2026</t>
    </r>
    <r>
      <rPr>
        <sz val="11"/>
        <color theme="1"/>
        <rFont val="Aptos Narrow"/>
        <family val="2"/>
        <scheme val="minor"/>
      </rPr>
      <t>)</t>
    </r>
  </si>
  <si>
    <t>Market data and valuation assumptions as at 26 May 2026.</t>
  </si>
  <si>
    <t>(As at 26 May 2026)</t>
  </si>
  <si>
    <r>
      <t xml:space="preserve">Risk-free Rate </t>
    </r>
    <r>
      <rPr>
        <i/>
        <sz val="9"/>
        <color theme="2" tint="-0.749992370372631"/>
        <rFont val="Aptos Narrow"/>
        <family val="2"/>
        <scheme val="minor"/>
      </rPr>
      <t>(as at 26 May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</si>
</sst>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numFmt numFmtId="165" formatCode="0.0%"/>
  </numFmts>
  <fonts count="34" x14ac:knownFonts="1">
    <font>
      <sz val="11"/>
      <color theme="1"/>
      <name val="Aptos Narrow"/>
      <family val="2"/>
      <scheme val="minor"/>
    </font>
    <font>
      <b/>
      <sz val="11"/>
      <color theme="1"/>
      <name val="Aptos Narrow"/>
      <family val="2"/>
      <scheme val="minor"/>
    </font>
    <font>
      <b/>
      <sz val="14"/>
      <color theme="1"/>
      <name val="Aptos Narrow"/>
      <family val="2"/>
      <scheme val="minor"/>
    </font>
    <font>
      <sz val="9"/>
      <color indexed="81"/>
      <name val="Tahoma"/>
      <family val="2"/>
    </font>
    <font>
      <b/>
      <sz val="9"/>
      <color indexed="81"/>
      <name val="Tahoma"/>
      <family val="2"/>
    </font>
    <font>
      <b/>
      <sz val="11"/>
      <color theme="0"/>
      <name val="Aptos Narrow"/>
      <family val="2"/>
      <scheme val="minor"/>
    </font>
    <font>
      <sz val="11"/>
      <color rgb="FF0070C0"/>
      <name val="Aptos Narrow"/>
      <family val="2"/>
      <scheme val="minor"/>
    </font>
    <font>
      <sz val="14"/>
      <color theme="1"/>
      <name val="Aptos Narrow"/>
      <family val="2"/>
      <scheme val="minor"/>
    </font>
    <font>
      <b/>
      <sz val="16"/>
      <color theme="0"/>
      <name val="Aptos Narrow"/>
      <family val="2"/>
      <scheme val="minor"/>
    </font>
    <font>
      <sz val="11"/>
      <name val="Aptos Narrow"/>
      <family val="2"/>
      <scheme val="minor"/>
    </font>
    <font>
      <b/>
      <sz val="16"/>
      <color theme="1"/>
      <name val="Aptos Narrow"/>
      <family val="2"/>
      <scheme val="minor"/>
    </font>
    <font>
      <b/>
      <sz val="12"/>
      <color theme="0"/>
      <name val="Aptos Narrow"/>
      <family val="2"/>
      <scheme val="minor"/>
    </font>
    <font>
      <i/>
      <sz val="10"/>
      <color theme="1"/>
      <name val="Aptos Narrow"/>
      <family val="2"/>
      <scheme val="minor"/>
    </font>
    <font>
      <sz val="12"/>
      <color theme="1"/>
      <name val="Aptos Narrow"/>
      <family val="2"/>
      <scheme val="minor"/>
    </font>
    <font>
      <b/>
      <sz val="12"/>
      <name val="Aptos Narrow"/>
      <family val="2"/>
      <scheme val="minor"/>
    </font>
    <font>
      <sz val="11"/>
      <color theme="1"/>
      <name val="Arial"/>
      <family val="2"/>
    </font>
    <font>
      <sz val="12"/>
      <color rgb="FF0070C0"/>
      <name val="Aptos Narrow"/>
      <family val="2"/>
      <scheme val="minor"/>
    </font>
    <font>
      <b/>
      <sz val="12"/>
      <color theme="1"/>
      <name val="Aptos Narrow"/>
      <family val="2"/>
      <scheme val="minor"/>
    </font>
    <font>
      <sz val="10"/>
      <color theme="2" tint="-0.749992370372631"/>
      <name val="Aptos Narrow"/>
      <family val="2"/>
      <scheme val="minor"/>
    </font>
    <font>
      <b/>
      <sz val="12"/>
      <color theme="4"/>
      <name val="Aptos Narrow"/>
      <family val="2"/>
      <scheme val="minor"/>
    </font>
    <font>
      <i/>
      <sz val="11"/>
      <color theme="1"/>
      <name val="Aptos Narrow"/>
      <family val="2"/>
      <scheme val="minor"/>
    </font>
    <font>
      <sz val="9"/>
      <color theme="2" tint="-0.749992370372631"/>
      <name val="Aptos Narrow"/>
      <family val="2"/>
      <scheme val="minor"/>
    </font>
    <font>
      <b/>
      <sz val="9"/>
      <color theme="2" tint="-0.499984740745262"/>
      <name val="Aptos Narrow"/>
      <family val="2"/>
      <scheme val="minor"/>
    </font>
    <font>
      <sz val="11"/>
      <color theme="2" tint="-0.499984740745262"/>
      <name val="Aptos Narrow"/>
      <family val="2"/>
      <scheme val="minor"/>
    </font>
    <font>
      <i/>
      <sz val="11"/>
      <name val="Aptos Narrow"/>
      <family val="2"/>
      <scheme val="minor"/>
    </font>
    <font>
      <sz val="9"/>
      <color indexed="81"/>
      <name val="Tahoma"/>
      <charset val="1"/>
    </font>
    <font>
      <b/>
      <sz val="9"/>
      <color indexed="81"/>
      <name val="Tahoma"/>
      <charset val="1"/>
    </font>
    <font>
      <b/>
      <sz val="11"/>
      <color theme="4"/>
      <name val="Aptos Narrow"/>
      <family val="2"/>
      <scheme val="minor"/>
    </font>
    <font>
      <sz val="9"/>
      <color theme="1"/>
      <name val="Aptos Narrow"/>
      <family val="2"/>
      <scheme val="minor"/>
    </font>
    <font>
      <b/>
      <sz val="9"/>
      <color theme="2" tint="-0.749992370372631"/>
      <name val="Aptos Narrow"/>
      <family val="2"/>
      <scheme val="minor"/>
    </font>
    <font>
      <b/>
      <sz val="18"/>
      <color theme="0"/>
      <name val="Aptos Narrow"/>
      <family val="2"/>
      <scheme val="minor"/>
    </font>
    <font>
      <i/>
      <sz val="9"/>
      <color theme="1"/>
      <name val="Aptos Narrow"/>
      <family val="2"/>
      <scheme val="minor"/>
    </font>
    <font>
      <b/>
      <sz val="14"/>
      <color theme="2"/>
      <name val="Aptos Narrow"/>
      <family val="2"/>
      <scheme val="minor"/>
    </font>
    <font>
      <i/>
      <sz val="9"/>
      <color theme="2" tint="-0.749992370372631"/>
      <name val="Aptos Narrow"/>
      <family val="2"/>
      <scheme val="minor"/>
    </font>
  </fonts>
  <fills count="10">
    <fill>
      <patternFill patternType="none"/>
    </fill>
    <fill>
      <patternFill patternType="gray125"/>
    </fill>
    <fill>
      <patternFill patternType="solid">
        <fgColor theme="4"/>
        <bgColor indexed="64"/>
      </patternFill>
    </fill>
    <fill>
      <patternFill patternType="solid">
        <fgColor rgb="FF002060"/>
        <bgColor indexed="64"/>
      </patternFill>
    </fill>
    <fill>
      <patternFill patternType="solid">
        <fgColor theme="1" tint="0.499984740745262"/>
        <bgColor indexed="64"/>
      </patternFill>
    </fill>
    <fill>
      <patternFill patternType="solid">
        <fgColor theme="3" tint="0.49998474074526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4" tint="0.39997558519241921"/>
        <bgColor indexed="64"/>
      </patternFill>
    </fill>
  </fills>
  <borders count="25">
    <border>
      <left/>
      <right/>
      <top/>
      <bottom/>
      <diagonal/>
    </border>
    <border>
      <left/>
      <right/>
      <top/>
      <bottom style="thin">
        <color theme="2" tint="-0.499984740745262"/>
      </bottom>
      <diagonal/>
    </border>
    <border>
      <left style="medium">
        <color indexed="64"/>
      </left>
      <right style="thin">
        <color theme="2" tint="-0.499984740745262"/>
      </right>
      <top style="medium">
        <color indexed="64"/>
      </top>
      <bottom style="thin">
        <color theme="2" tint="-0.499984740745262"/>
      </bottom>
      <diagonal/>
    </border>
    <border>
      <left/>
      <right/>
      <top style="medium">
        <color indexed="64"/>
      </top>
      <bottom style="thin">
        <color theme="2" tint="-0.499984740745262"/>
      </bottom>
      <diagonal/>
    </border>
    <border>
      <left/>
      <right style="medium">
        <color indexed="64"/>
      </right>
      <top style="medium">
        <color indexed="64"/>
      </top>
      <bottom style="thin">
        <color theme="2" tint="-0.499984740745262"/>
      </bottom>
      <diagonal/>
    </border>
    <border>
      <left style="medium">
        <color indexed="64"/>
      </left>
      <right style="thin">
        <color theme="2" tint="-0.499984740745262"/>
      </right>
      <top/>
      <bottom/>
      <diagonal/>
    </border>
    <border>
      <left/>
      <right style="medium">
        <color indexed="64"/>
      </right>
      <top/>
      <bottom/>
      <diagonal/>
    </border>
    <border>
      <left style="medium">
        <color indexed="64"/>
      </left>
      <right style="thin">
        <color theme="2" tint="-0.499984740745262"/>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2" tint="-0.499984740745262"/>
      </left>
      <right/>
      <top style="medium">
        <color indexed="64"/>
      </top>
      <bottom style="thin">
        <color theme="2" tint="-0.49998474074526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4">
    <xf numFmtId="0" fontId="0" fillId="0" borderId="0" xfId="0"/>
    <xf numFmtId="0" fontId="2" fillId="0" borderId="0" xfId="0" applyFont="1"/>
    <xf numFmtId="0" fontId="1" fillId="0" borderId="0" xfId="0" applyFont="1"/>
    <xf numFmtId="10" fontId="0" fillId="0" borderId="0" xfId="0" applyNumberFormat="1"/>
    <xf numFmtId="10" fontId="1" fillId="0" borderId="0" xfId="0" applyNumberFormat="1" applyFont="1"/>
    <xf numFmtId="2" fontId="0" fillId="0" borderId="0" xfId="0" applyNumberFormat="1"/>
    <xf numFmtId="0" fontId="0" fillId="0" borderId="0" xfId="0" applyAlignment="1">
      <alignment wrapText="1"/>
    </xf>
    <xf numFmtId="9" fontId="0" fillId="0" borderId="0" xfId="0" applyNumberFormat="1"/>
    <xf numFmtId="1" fontId="0" fillId="0" borderId="0" xfId="0" applyNumberFormat="1"/>
    <xf numFmtId="164" fontId="0" fillId="0" borderId="0" xfId="0" applyNumberFormat="1"/>
    <xf numFmtId="0" fontId="0" fillId="2" borderId="0" xfId="0" applyFill="1"/>
    <xf numFmtId="164" fontId="1" fillId="0" borderId="0" xfId="0" applyNumberFormat="1" applyFont="1"/>
    <xf numFmtId="0" fontId="6" fillId="0" borderId="0" xfId="0" applyFont="1"/>
    <xf numFmtId="164" fontId="6" fillId="0" borderId="0" xfId="0" applyNumberFormat="1" applyFont="1"/>
    <xf numFmtId="0" fontId="5" fillId="2" borderId="0" xfId="0" applyFont="1" applyFill="1"/>
    <xf numFmtId="0" fontId="0" fillId="3" borderId="0" xfId="0" applyFill="1"/>
    <xf numFmtId="0" fontId="5" fillId="3" borderId="0" xfId="0" applyFont="1" applyFill="1"/>
    <xf numFmtId="0" fontId="0" fillId="4" borderId="0" xfId="0" applyFill="1"/>
    <xf numFmtId="0" fontId="5" fillId="4" borderId="0" xfId="0" applyFont="1" applyFill="1"/>
    <xf numFmtId="0" fontId="0" fillId="0" borderId="1" xfId="0" applyBorder="1"/>
    <xf numFmtId="0" fontId="1" fillId="0" borderId="1" xfId="0" applyFont="1" applyBorder="1"/>
    <xf numFmtId="0" fontId="7" fillId="0" borderId="0" xfId="0" applyFont="1"/>
    <xf numFmtId="0" fontId="0" fillId="0" borderId="0" xfId="0" applyAlignment="1">
      <alignment horizontal="left" indent="2"/>
    </xf>
    <xf numFmtId="0" fontId="0" fillId="0" borderId="0" xfId="0" quotePrefix="1" applyAlignment="1">
      <alignment horizontal="left" indent="2"/>
    </xf>
    <xf numFmtId="0" fontId="0" fillId="0" borderId="0" xfId="0" quotePrefix="1" applyAlignment="1">
      <alignment horizontal="left" indent="1"/>
    </xf>
    <xf numFmtId="0" fontId="0" fillId="0" borderId="0" xfId="0" quotePrefix="1"/>
    <xf numFmtId="0" fontId="0" fillId="0" borderId="0" xfId="0" applyAlignment="1">
      <alignment horizontal="left"/>
    </xf>
    <xf numFmtId="0" fontId="0" fillId="0" borderId="0" xfId="0" applyAlignment="1">
      <alignment horizontal="left" indent="1"/>
    </xf>
    <xf numFmtId="0" fontId="1" fillId="5" borderId="0" xfId="0" applyFont="1" applyFill="1"/>
    <xf numFmtId="0" fontId="0" fillId="5" borderId="0" xfId="0" applyFill="1"/>
    <xf numFmtId="9" fontId="0" fillId="5" borderId="0" xfId="0" applyNumberFormat="1" applyFill="1"/>
    <xf numFmtId="0" fontId="8" fillId="5" borderId="0" xfId="0" applyFont="1" applyFill="1"/>
    <xf numFmtId="1" fontId="0" fillId="0" borderId="6" xfId="0" applyNumberFormat="1" applyBorder="1"/>
    <xf numFmtId="1" fontId="0" fillId="0" borderId="8" xfId="0" applyNumberFormat="1" applyBorder="1"/>
    <xf numFmtId="1" fontId="0" fillId="0" borderId="9" xfId="0" applyNumberFormat="1" applyBorder="1"/>
    <xf numFmtId="9" fontId="1" fillId="0" borderId="0" xfId="0" applyNumberFormat="1" applyFont="1" applyAlignment="1">
      <alignment horizontal="right"/>
    </xf>
    <xf numFmtId="0" fontId="0" fillId="0" borderId="6" xfId="0" applyBorder="1"/>
    <xf numFmtId="0" fontId="1" fillId="0" borderId="0" xfId="0" applyFont="1" applyAlignment="1">
      <alignment horizontal="right"/>
    </xf>
    <xf numFmtId="0" fontId="0" fillId="7" borderId="0" xfId="0" applyFill="1"/>
    <xf numFmtId="10" fontId="0" fillId="0" borderId="0" xfId="0" quotePrefix="1" applyNumberFormat="1"/>
    <xf numFmtId="0" fontId="10" fillId="0" borderId="0" xfId="0" applyFont="1"/>
    <xf numFmtId="0" fontId="0" fillId="0" borderId="14" xfId="0" applyBorder="1"/>
    <xf numFmtId="0" fontId="0" fillId="0" borderId="15" xfId="0" applyBorder="1"/>
    <xf numFmtId="0" fontId="0" fillId="0" borderId="16" xfId="0" applyBorder="1"/>
    <xf numFmtId="0" fontId="12" fillId="0" borderId="17" xfId="0" applyFont="1" applyBorder="1"/>
    <xf numFmtId="0" fontId="0" fillId="0" borderId="17" xfId="0" applyBorder="1"/>
    <xf numFmtId="0" fontId="0" fillId="0" borderId="18" xfId="0" applyBorder="1"/>
    <xf numFmtId="0" fontId="12" fillId="0" borderId="0" xfId="0" applyFont="1"/>
    <xf numFmtId="1" fontId="10" fillId="0" borderId="0" xfId="0" applyNumberFormat="1" applyFont="1"/>
    <xf numFmtId="0" fontId="9" fillId="0" borderId="16" xfId="0" applyFont="1" applyBorder="1"/>
    <xf numFmtId="0" fontId="6" fillId="0" borderId="17" xfId="0" applyFont="1" applyBorder="1"/>
    <xf numFmtId="0" fontId="6" fillId="0" borderId="18" xfId="0" applyFont="1" applyBorder="1"/>
    <xf numFmtId="0" fontId="13" fillId="0" borderId="14" xfId="0" applyFont="1" applyBorder="1"/>
    <xf numFmtId="165" fontId="14" fillId="0" borderId="17" xfId="0" applyNumberFormat="1" applyFont="1" applyBorder="1"/>
    <xf numFmtId="0" fontId="9" fillId="0" borderId="0" xfId="0" applyFont="1" applyAlignment="1">
      <alignment horizontal="left" wrapText="1"/>
    </xf>
    <xf numFmtId="164" fontId="6" fillId="0" borderId="15" xfId="0" applyNumberFormat="1" applyFont="1" applyBorder="1"/>
    <xf numFmtId="0" fontId="6" fillId="7" borderId="0" xfId="0" applyFont="1" applyFill="1"/>
    <xf numFmtId="0" fontId="16" fillId="0" borderId="0" xfId="0" applyFont="1"/>
    <xf numFmtId="10" fontId="9" fillId="0" borderId="0" xfId="0" applyNumberFormat="1" applyFont="1" applyAlignment="1">
      <alignment horizontal="right"/>
    </xf>
    <xf numFmtId="10" fontId="0" fillId="0" borderId="0" xfId="0" applyNumberFormat="1" applyAlignment="1">
      <alignment horizontal="right"/>
    </xf>
    <xf numFmtId="10" fontId="0" fillId="0" borderId="17" xfId="0" applyNumberFormat="1" applyBorder="1"/>
    <xf numFmtId="0" fontId="13" fillId="0" borderId="0" xfId="0" applyFont="1"/>
    <xf numFmtId="165" fontId="0" fillId="0" borderId="0" xfId="0" applyNumberFormat="1"/>
    <xf numFmtId="0" fontId="18" fillId="0" borderId="0" xfId="0" applyFont="1"/>
    <xf numFmtId="0" fontId="0" fillId="0" borderId="20" xfId="0" applyBorder="1"/>
    <xf numFmtId="10" fontId="19" fillId="6" borderId="18" xfId="0" applyNumberFormat="1" applyFont="1" applyFill="1" applyBorder="1" applyAlignment="1">
      <alignment horizontal="center"/>
    </xf>
    <xf numFmtId="0" fontId="17" fillId="8" borderId="0" xfId="0" applyFont="1" applyFill="1"/>
    <xf numFmtId="0" fontId="0" fillId="8" borderId="0" xfId="0" applyFill="1"/>
    <xf numFmtId="10" fontId="19" fillId="0" borderId="0" xfId="0" applyNumberFormat="1" applyFont="1" applyAlignment="1">
      <alignment horizontal="center"/>
    </xf>
    <xf numFmtId="0" fontId="20" fillId="0" borderId="0" xfId="0" applyFont="1"/>
    <xf numFmtId="0" fontId="21" fillId="0" borderId="0" xfId="0" applyFont="1"/>
    <xf numFmtId="0" fontId="22" fillId="0" borderId="0" xfId="0" applyFont="1"/>
    <xf numFmtId="164" fontId="22" fillId="0" borderId="0" xfId="0" applyNumberFormat="1" applyFont="1"/>
    <xf numFmtId="0" fontId="22" fillId="0" borderId="0" xfId="0" applyFont="1" applyAlignment="1">
      <alignment horizontal="right"/>
    </xf>
    <xf numFmtId="0" fontId="1" fillId="8" borderId="0" xfId="0" applyFont="1" applyFill="1"/>
    <xf numFmtId="0" fontId="0" fillId="0" borderId="19" xfId="0" applyBorder="1"/>
    <xf numFmtId="9" fontId="19" fillId="6" borderId="19" xfId="0" applyNumberFormat="1" applyFont="1" applyFill="1" applyBorder="1" applyAlignment="1">
      <alignment horizontal="center"/>
    </xf>
    <xf numFmtId="0" fontId="1" fillId="0" borderId="19" xfId="0" applyFont="1" applyBorder="1" applyAlignment="1">
      <alignment horizontal="center"/>
    </xf>
    <xf numFmtId="9" fontId="19" fillId="0" borderId="0" xfId="0" applyNumberFormat="1" applyFont="1" applyAlignment="1">
      <alignment horizontal="center"/>
    </xf>
    <xf numFmtId="10" fontId="19" fillId="6" borderId="19" xfId="0" applyNumberFormat="1" applyFont="1" applyFill="1" applyBorder="1" applyAlignment="1">
      <alignment horizontal="center"/>
    </xf>
    <xf numFmtId="0" fontId="24" fillId="0" borderId="0" xfId="0" applyFont="1"/>
    <xf numFmtId="0" fontId="23" fillId="0" borderId="0" xfId="0" applyFont="1" applyAlignment="1">
      <alignment horizontal="left" indent="2"/>
    </xf>
    <xf numFmtId="0" fontId="0" fillId="0" borderId="22" xfId="0" applyBorder="1"/>
    <xf numFmtId="0" fontId="0" fillId="0" borderId="0" xfId="0" applyAlignment="1">
      <alignment horizontal="center"/>
    </xf>
    <xf numFmtId="0" fontId="28" fillId="0" borderId="0" xfId="0" applyFont="1"/>
    <xf numFmtId="0" fontId="29" fillId="0" borderId="0" xfId="0" applyFont="1"/>
    <xf numFmtId="10" fontId="29" fillId="0" borderId="0" xfId="0" applyNumberFormat="1" applyFont="1"/>
    <xf numFmtId="0" fontId="29" fillId="0" borderId="0" xfId="0" applyFont="1" applyAlignment="1">
      <alignment horizontal="right"/>
    </xf>
    <xf numFmtId="10" fontId="27" fillId="6" borderId="21" xfId="0" applyNumberFormat="1" applyFont="1" applyFill="1" applyBorder="1"/>
    <xf numFmtId="10" fontId="27" fillId="6" borderId="20" xfId="0" applyNumberFormat="1" applyFont="1" applyFill="1" applyBorder="1"/>
    <xf numFmtId="0" fontId="1" fillId="0" borderId="23" xfId="0" applyFont="1" applyBorder="1" applyAlignment="1">
      <alignment horizontal="center"/>
    </xf>
    <xf numFmtId="0" fontId="0" fillId="0" borderId="19" xfId="0" applyBorder="1" applyAlignment="1">
      <alignment horizontal="center"/>
    </xf>
    <xf numFmtId="9" fontId="19" fillId="6" borderId="19" xfId="0" applyNumberFormat="1" applyFont="1" applyFill="1" applyBorder="1"/>
    <xf numFmtId="10" fontId="21" fillId="0" borderId="0" xfId="0" applyNumberFormat="1" applyFont="1"/>
    <xf numFmtId="3" fontId="0" fillId="0" borderId="0" xfId="0" applyNumberFormat="1"/>
    <xf numFmtId="0" fontId="1" fillId="0" borderId="22" xfId="0" applyFont="1" applyBorder="1"/>
    <xf numFmtId="0" fontId="17" fillId="0" borderId="19" xfId="0" applyFont="1" applyBorder="1" applyAlignment="1">
      <alignment horizontal="center"/>
    </xf>
    <xf numFmtId="4" fontId="21" fillId="0" borderId="0" xfId="0" applyNumberFormat="1" applyFont="1"/>
    <xf numFmtId="2" fontId="21" fillId="0" borderId="0" xfId="0" applyNumberFormat="1" applyFont="1"/>
    <xf numFmtId="0" fontId="13" fillId="8" borderId="0" xfId="0" applyFont="1" applyFill="1"/>
    <xf numFmtId="0" fontId="13" fillId="0" borderId="16" xfId="0" applyFont="1" applyBorder="1"/>
    <xf numFmtId="0" fontId="27" fillId="6" borderId="21" xfId="0" applyFont="1" applyFill="1" applyBorder="1"/>
    <xf numFmtId="0" fontId="27" fillId="6" borderId="20" xfId="0" applyFont="1" applyFill="1" applyBorder="1"/>
    <xf numFmtId="0" fontId="13" fillId="0" borderId="22" xfId="0" applyFont="1" applyBorder="1"/>
    <xf numFmtId="0" fontId="2" fillId="8" borderId="0" xfId="0" applyFont="1" applyFill="1"/>
    <xf numFmtId="1" fontId="1" fillId="0" borderId="0" xfId="0" applyNumberFormat="1" applyFont="1"/>
    <xf numFmtId="165" fontId="27" fillId="0" borderId="21" xfId="0" applyNumberFormat="1" applyFont="1" applyBorder="1"/>
    <xf numFmtId="165" fontId="27" fillId="0" borderId="20" xfId="0" applyNumberFormat="1" applyFont="1" applyBorder="1"/>
    <xf numFmtId="0" fontId="0" fillId="0" borderId="0" xfId="0" applyAlignment="1">
      <alignment horizontal="left" indent="4"/>
    </xf>
    <xf numFmtId="0" fontId="21" fillId="0" borderId="0" xfId="0" applyFont="1" applyAlignment="1">
      <alignment horizontal="right"/>
    </xf>
    <xf numFmtId="165" fontId="21" fillId="0" borderId="0" xfId="0" applyNumberFormat="1" applyFont="1"/>
    <xf numFmtId="165" fontId="27" fillId="6" borderId="21" xfId="0" applyNumberFormat="1" applyFont="1" applyFill="1" applyBorder="1"/>
    <xf numFmtId="165" fontId="27" fillId="6" borderId="20" xfId="0" applyNumberFormat="1" applyFont="1" applyFill="1" applyBorder="1"/>
    <xf numFmtId="10" fontId="19" fillId="0" borderId="20" xfId="0" applyNumberFormat="1" applyFont="1" applyBorder="1"/>
    <xf numFmtId="10" fontId="19" fillId="6" borderId="21" xfId="0" applyNumberFormat="1" applyFont="1" applyFill="1" applyBorder="1"/>
    <xf numFmtId="10" fontId="19" fillId="6" borderId="20" xfId="0" applyNumberFormat="1" applyFont="1" applyFill="1" applyBorder="1"/>
    <xf numFmtId="164" fontId="21" fillId="0" borderId="0" xfId="0" applyNumberFormat="1" applyFont="1"/>
    <xf numFmtId="0" fontId="29" fillId="0" borderId="24" xfId="0" applyFont="1" applyBorder="1"/>
    <xf numFmtId="1" fontId="29" fillId="0" borderId="24" xfId="0" applyNumberFormat="1" applyFont="1" applyBorder="1"/>
    <xf numFmtId="10" fontId="19" fillId="0" borderId="0" xfId="0" applyNumberFormat="1" applyFont="1"/>
    <xf numFmtId="9" fontId="0" fillId="8" borderId="0" xfId="0" applyNumberFormat="1" applyFill="1"/>
    <xf numFmtId="0" fontId="21" fillId="0" borderId="22" xfId="0" applyFont="1" applyBorder="1"/>
    <xf numFmtId="0" fontId="21" fillId="0" borderId="19" xfId="0" applyFont="1" applyBorder="1"/>
    <xf numFmtId="0" fontId="21" fillId="0" borderId="14" xfId="0" applyFont="1" applyBorder="1"/>
    <xf numFmtId="10" fontId="21" fillId="0" borderId="14" xfId="0" applyNumberFormat="1" applyFont="1" applyBorder="1"/>
    <xf numFmtId="9" fontId="21" fillId="0" borderId="14" xfId="0" applyNumberFormat="1" applyFont="1" applyBorder="1"/>
    <xf numFmtId="0" fontId="21" fillId="0" borderId="21" xfId="0" applyFont="1" applyBorder="1"/>
    <xf numFmtId="0" fontId="21" fillId="0" borderId="14" xfId="0" applyFont="1" applyBorder="1" applyAlignment="1">
      <alignment wrapText="1"/>
    </xf>
    <xf numFmtId="0" fontId="21" fillId="0" borderId="16" xfId="0" applyFont="1" applyBorder="1"/>
    <xf numFmtId="9" fontId="21" fillId="0" borderId="16" xfId="0" applyNumberFormat="1" applyFont="1" applyBorder="1"/>
    <xf numFmtId="0" fontId="21" fillId="0" borderId="20" xfId="0" applyFont="1" applyBorder="1"/>
    <xf numFmtId="0" fontId="9" fillId="0" borderId="0" xfId="0" applyFont="1"/>
    <xf numFmtId="1" fontId="9" fillId="0" borderId="0" xfId="0" applyNumberFormat="1" applyFont="1"/>
    <xf numFmtId="3" fontId="6" fillId="0" borderId="0" xfId="0" applyNumberFormat="1" applyFont="1"/>
    <xf numFmtId="10" fontId="6" fillId="6" borderId="5" xfId="0" applyNumberFormat="1" applyFont="1" applyFill="1" applyBorder="1"/>
    <xf numFmtId="10" fontId="6" fillId="6" borderId="7" xfId="0" applyNumberFormat="1" applyFont="1" applyFill="1" applyBorder="1"/>
    <xf numFmtId="1" fontId="6" fillId="6" borderId="2" xfId="0" applyNumberFormat="1" applyFont="1" applyFill="1" applyBorder="1"/>
    <xf numFmtId="10" fontId="6" fillId="6" borderId="3" xfId="0" applyNumberFormat="1" applyFont="1" applyFill="1" applyBorder="1"/>
    <xf numFmtId="10" fontId="6" fillId="6" borderId="4" xfId="0" applyNumberFormat="1" applyFont="1" applyFill="1" applyBorder="1"/>
    <xf numFmtId="9" fontId="6" fillId="6" borderId="5" xfId="0" applyNumberFormat="1" applyFont="1" applyFill="1" applyBorder="1"/>
    <xf numFmtId="9" fontId="6" fillId="6" borderId="7" xfId="0" applyNumberFormat="1" applyFont="1" applyFill="1" applyBorder="1"/>
    <xf numFmtId="9" fontId="6" fillId="6" borderId="10" xfId="0" applyNumberFormat="1" applyFont="1" applyFill="1" applyBorder="1"/>
    <xf numFmtId="9" fontId="6" fillId="6" borderId="3" xfId="0" applyNumberFormat="1" applyFont="1" applyFill="1" applyBorder="1"/>
    <xf numFmtId="9" fontId="6" fillId="6" borderId="4" xfId="0" applyNumberFormat="1" applyFont="1" applyFill="1" applyBorder="1"/>
    <xf numFmtId="0" fontId="21" fillId="0" borderId="21" xfId="0" applyFont="1" applyBorder="1" applyAlignment="1">
      <alignment horizontal="right" indent="5"/>
    </xf>
    <xf numFmtId="0" fontId="21" fillId="0" borderId="21" xfId="0" applyFont="1" applyBorder="1" applyAlignment="1">
      <alignment horizontal="left" indent="3"/>
    </xf>
    <xf numFmtId="0" fontId="21" fillId="0" borderId="21" xfId="0" applyFont="1" applyBorder="1" applyAlignment="1">
      <alignment horizontal="left" wrapText="1" indent="3"/>
    </xf>
    <xf numFmtId="0" fontId="1" fillId="9" borderId="0" xfId="0" applyFont="1" applyFill="1"/>
    <xf numFmtId="0" fontId="0" fillId="9" borderId="0" xfId="0" applyFill="1"/>
    <xf numFmtId="0" fontId="1" fillId="0" borderId="19" xfId="0" applyFont="1" applyBorder="1" applyAlignment="1">
      <alignment horizontal="right"/>
    </xf>
    <xf numFmtId="0" fontId="0" fillId="0" borderId="21" xfId="0" applyBorder="1"/>
    <xf numFmtId="10" fontId="0" fillId="0" borderId="21" xfId="0" applyNumberFormat="1" applyBorder="1"/>
    <xf numFmtId="9" fontId="0" fillId="0" borderId="20" xfId="0" applyNumberFormat="1" applyBorder="1"/>
    <xf numFmtId="0" fontId="1" fillId="0" borderId="19" xfId="0" applyFont="1" applyBorder="1"/>
    <xf numFmtId="0" fontId="30" fillId="3" borderId="0" xfId="0" applyFont="1" applyFill="1"/>
    <xf numFmtId="0" fontId="31" fillId="0" borderId="14" xfId="0" applyFont="1" applyBorder="1" applyAlignment="1">
      <alignment vertical="top"/>
    </xf>
    <xf numFmtId="0" fontId="32" fillId="5" borderId="0" xfId="0" applyFont="1" applyFill="1"/>
    <xf numFmtId="0" fontId="1" fillId="0" borderId="11" xfId="0" applyFont="1" applyBorder="1" applyAlignment="1">
      <alignment vertical="top" wrapText="1"/>
    </xf>
    <xf numFmtId="0" fontId="1" fillId="0" borderId="13" xfId="0" applyFont="1" applyBorder="1" applyAlignment="1">
      <alignment vertical="top" wrapText="1"/>
    </xf>
    <xf numFmtId="0" fontId="1" fillId="0" borderId="16" xfId="0" applyFont="1" applyBorder="1" applyAlignment="1">
      <alignment vertical="top" wrapText="1"/>
    </xf>
    <xf numFmtId="0" fontId="1" fillId="0" borderId="18" xfId="0" applyFont="1" applyBorder="1" applyAlignment="1">
      <alignment vertical="top" wrapText="1"/>
    </xf>
    <xf numFmtId="0" fontId="0" fillId="6" borderId="11" xfId="0" applyFill="1" applyBorder="1" applyAlignment="1">
      <alignment wrapText="1"/>
    </xf>
    <xf numFmtId="0" fontId="0" fillId="6" borderId="13" xfId="0" applyFill="1" applyBorder="1" applyAlignment="1">
      <alignment wrapText="1"/>
    </xf>
    <xf numFmtId="0" fontId="0" fillId="6" borderId="14" xfId="0" applyFill="1" applyBorder="1" applyAlignment="1">
      <alignment wrapText="1"/>
    </xf>
    <xf numFmtId="0" fontId="0" fillId="6" borderId="15" xfId="0" applyFill="1" applyBorder="1" applyAlignment="1">
      <alignment wrapText="1"/>
    </xf>
    <xf numFmtId="0" fontId="0" fillId="6" borderId="16" xfId="0" applyFill="1" applyBorder="1" applyAlignment="1">
      <alignment wrapText="1"/>
    </xf>
    <xf numFmtId="0" fontId="0" fillId="6" borderId="18" xfId="0" applyFill="1" applyBorder="1" applyAlignment="1">
      <alignment wrapText="1"/>
    </xf>
    <xf numFmtId="0" fontId="11" fillId="3" borderId="11" xfId="0" applyFont="1" applyFill="1" applyBorder="1" applyAlignment="1">
      <alignment horizontal="center"/>
    </xf>
    <xf numFmtId="0" fontId="5" fillId="3" borderId="12" xfId="0" applyFont="1" applyFill="1" applyBorder="1" applyAlignment="1">
      <alignment horizontal="center"/>
    </xf>
    <xf numFmtId="0" fontId="5" fillId="3" borderId="13" xfId="0" applyFont="1" applyFill="1" applyBorder="1" applyAlignment="1">
      <alignment horizontal="center"/>
    </xf>
    <xf numFmtId="0" fontId="11" fillId="3" borderId="12" xfId="0" applyFont="1" applyFill="1" applyBorder="1" applyAlignment="1">
      <alignment horizontal="center"/>
    </xf>
    <xf numFmtId="0" fontId="11" fillId="3" borderId="13" xfId="0" applyFont="1" applyFill="1" applyBorder="1" applyAlignment="1">
      <alignment horizontal="center"/>
    </xf>
    <xf numFmtId="164" fontId="11" fillId="3" borderId="11" xfId="0" applyNumberFormat="1" applyFont="1" applyFill="1" applyBorder="1" applyAlignment="1">
      <alignment horizontal="center"/>
    </xf>
    <xf numFmtId="164" fontId="11" fillId="3" borderId="12" xfId="0" applyNumberFormat="1" applyFont="1" applyFill="1" applyBorder="1" applyAlignment="1">
      <alignment horizontal="center"/>
    </xf>
    <xf numFmtId="164" fontId="11" fillId="3" borderId="13" xfId="0" applyNumberFormat="1" applyFont="1" applyFill="1" applyBorder="1" applyAlignment="1">
      <alignment horizontal="center"/>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Valuation</a:t>
            </a:r>
            <a:r>
              <a:rPr lang="en-US" baseline="0"/>
              <a:t> Range Analysis</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Dashboard!$Y$1</c:f>
              <c:strCache>
                <c:ptCount val="1"/>
                <c:pt idx="0">
                  <c:v>Value </c:v>
                </c:pt>
              </c:strCache>
            </c:strRef>
          </c:tx>
          <c:spPr>
            <a:solidFill>
              <a:schemeClr val="accent1"/>
            </a:solidFill>
            <a:ln>
              <a:noFill/>
            </a:ln>
            <a:effectLst/>
          </c:spPr>
          <c:invertIfNegative val="0"/>
          <c:dPt>
            <c:idx val="3"/>
            <c:invertIfNegative val="0"/>
            <c:bubble3D val="0"/>
            <c:spPr>
              <a:solidFill>
                <a:schemeClr val="bg2">
                  <a:lumMod val="75000"/>
                </a:schemeClr>
              </a:solidFill>
              <a:ln>
                <a:noFill/>
              </a:ln>
              <a:effectLst/>
            </c:spPr>
            <c:extLst>
              <c:ext xmlns:c16="http://schemas.microsoft.com/office/drawing/2014/chart" uri="{C3380CC4-5D6E-409C-BE32-E72D297353CC}">
                <c16:uniqueId val="{00000001-CEC0-4334-915F-8E67788ADA47}"/>
              </c:ext>
            </c:extLst>
          </c:dPt>
          <c:cat>
            <c:strRef>
              <c:f>Dashboard!$X$2:$X$5</c:f>
              <c:strCache>
                <c:ptCount val="4"/>
                <c:pt idx="0">
                  <c:v>Bear Case </c:v>
                </c:pt>
                <c:pt idx="1">
                  <c:v>Base Case </c:v>
                </c:pt>
                <c:pt idx="2">
                  <c:v>Bull Case </c:v>
                </c:pt>
                <c:pt idx="3">
                  <c:v>Market Price </c:v>
                </c:pt>
              </c:strCache>
            </c:strRef>
          </c:cat>
          <c:val>
            <c:numRef>
              <c:f>Dashboard!$Y$2:$Y$5</c:f>
              <c:numCache>
                <c:formatCode>General</c:formatCode>
                <c:ptCount val="4"/>
                <c:pt idx="0">
                  <c:v>206</c:v>
                </c:pt>
                <c:pt idx="1">
                  <c:v>219</c:v>
                </c:pt>
                <c:pt idx="2">
                  <c:v>230</c:v>
                </c:pt>
                <c:pt idx="3">
                  <c:v>156.52000000000001</c:v>
                </c:pt>
              </c:numCache>
            </c:numRef>
          </c:val>
          <c:extLst>
            <c:ext xmlns:c16="http://schemas.microsoft.com/office/drawing/2014/chart" uri="{C3380CC4-5D6E-409C-BE32-E72D297353CC}">
              <c16:uniqueId val="{00000000-CEC0-4334-915F-8E67788ADA47}"/>
            </c:ext>
          </c:extLst>
        </c:ser>
        <c:dLbls>
          <c:showLegendKey val="0"/>
          <c:showVal val="0"/>
          <c:showCatName val="0"/>
          <c:showSerName val="0"/>
          <c:showPercent val="0"/>
          <c:showBubbleSize val="0"/>
        </c:dLbls>
        <c:gapWidth val="46"/>
        <c:axId val="1495686128"/>
        <c:axId val="1495696208"/>
      </c:barChart>
      <c:catAx>
        <c:axId val="149568612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696208"/>
        <c:crosses val="autoZero"/>
        <c:auto val="1"/>
        <c:lblAlgn val="ctr"/>
        <c:lblOffset val="100"/>
        <c:noMultiLvlLbl val="0"/>
      </c:catAx>
      <c:valAx>
        <c:axId val="1495696208"/>
        <c:scaling>
          <c:orientation val="minMax"/>
        </c:scaling>
        <c:delete val="0"/>
        <c:axPos val="t"/>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68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38</xdr:row>
      <xdr:rowOff>107180</xdr:rowOff>
    </xdr:from>
    <xdr:to>
      <xdr:col>2</xdr:col>
      <xdr:colOff>323850</xdr:colOff>
      <xdr:row>52</xdr:row>
      <xdr:rowOff>95250</xdr:rowOff>
    </xdr:to>
    <xdr:pic>
      <xdr:nvPicPr>
        <xdr:cNvPr id="7" name="Picture 6">
          <a:extLst>
            <a:ext uri="{FF2B5EF4-FFF2-40B4-BE49-F238E27FC236}">
              <a16:creationId xmlns:a16="http://schemas.microsoft.com/office/drawing/2014/main" id="{F1739231-F1B7-F4FB-5EEA-C94333DB38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219180"/>
          <a:ext cx="5353050" cy="25661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1100666</xdr:colOff>
      <xdr:row>17</xdr:row>
      <xdr:rowOff>148167</xdr:rowOff>
    </xdr:from>
    <xdr:ext cx="2321278" cy="1135944"/>
    <xdr:sp macro="" textlink="">
      <xdr:nvSpPr>
        <xdr:cNvPr id="2" name="TextBox 1">
          <a:extLst>
            <a:ext uri="{FF2B5EF4-FFF2-40B4-BE49-F238E27FC236}">
              <a16:creationId xmlns:a16="http://schemas.microsoft.com/office/drawing/2014/main" id="{BC9163C2-F748-F7BD-4490-007EC7CC4F8A}"/>
            </a:ext>
          </a:extLst>
        </xdr:cNvPr>
        <xdr:cNvSpPr txBox="1"/>
      </xdr:nvSpPr>
      <xdr:spPr>
        <a:xfrm>
          <a:off x="7852833" y="3309056"/>
          <a:ext cx="2321278" cy="11359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ZA" sz="1100"/>
        </a:p>
      </xdr:txBody>
    </xdr:sp>
    <xdr:clientData/>
  </xdr:oneCellAnchor>
  <xdr:oneCellAnchor>
    <xdr:from>
      <xdr:col>3</xdr:col>
      <xdr:colOff>1389944</xdr:colOff>
      <xdr:row>15</xdr:row>
      <xdr:rowOff>938389</xdr:rowOff>
    </xdr:from>
    <xdr:ext cx="184731" cy="264560"/>
    <xdr:sp macro="" textlink="">
      <xdr:nvSpPr>
        <xdr:cNvPr id="3" name="TextBox 2">
          <a:extLst>
            <a:ext uri="{FF2B5EF4-FFF2-40B4-BE49-F238E27FC236}">
              <a16:creationId xmlns:a16="http://schemas.microsoft.com/office/drawing/2014/main" id="{79CE8119-8395-14A7-DCC6-081280D3BC4A}"/>
            </a:ext>
          </a:extLst>
        </xdr:cNvPr>
        <xdr:cNvSpPr txBox="1"/>
      </xdr:nvSpPr>
      <xdr:spPr>
        <a:xfrm>
          <a:off x="8142111" y="35418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ZA" sz="1100"/>
        </a:p>
      </xdr:txBody>
    </xdr:sp>
    <xdr:clientData/>
  </xdr:oneCellAnchor>
  <xdr:twoCellAnchor>
    <xdr:from>
      <xdr:col>1</xdr:col>
      <xdr:colOff>11545</xdr:colOff>
      <xdr:row>22</xdr:row>
      <xdr:rowOff>115455</xdr:rowOff>
    </xdr:from>
    <xdr:to>
      <xdr:col>5</xdr:col>
      <xdr:colOff>28863</xdr:colOff>
      <xdr:row>41</xdr:row>
      <xdr:rowOff>34636</xdr:rowOff>
    </xdr:to>
    <xdr:graphicFrame macro="">
      <xdr:nvGraphicFramePr>
        <xdr:cNvPr id="5" name="Chart 4">
          <a:extLst>
            <a:ext uri="{FF2B5EF4-FFF2-40B4-BE49-F238E27FC236}">
              <a16:creationId xmlns:a16="http://schemas.microsoft.com/office/drawing/2014/main" id="{1DD6A88B-B1DE-D464-7958-54917FB727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39F2C-2DD0-4BA0-B472-5694D01D254C}">
  <dimension ref="A1:B56"/>
  <sheetViews>
    <sheetView showGridLines="0" topLeftCell="A35" zoomScale="90" zoomScaleNormal="90" workbookViewId="0">
      <selection activeCell="N21" sqref="N21"/>
    </sheetView>
  </sheetViews>
  <sheetFormatPr defaultRowHeight="14.5" x14ac:dyDescent="0.35"/>
  <cols>
    <col min="1" max="1" width="63.26953125" bestFit="1" customWidth="1"/>
  </cols>
  <sheetData>
    <row r="1" spans="1:2" ht="23.5" x14ac:dyDescent="0.55000000000000004">
      <c r="A1" s="154" t="s">
        <v>318</v>
      </c>
      <c r="B1" s="15"/>
    </row>
    <row r="3" spans="1:2" x14ac:dyDescent="0.35">
      <c r="A3" s="2" t="s">
        <v>319</v>
      </c>
    </row>
    <row r="4" spans="1:2" x14ac:dyDescent="0.35">
      <c r="A4" t="s">
        <v>320</v>
      </c>
    </row>
    <row r="6" spans="1:2" x14ac:dyDescent="0.35">
      <c r="A6" s="147" t="s">
        <v>321</v>
      </c>
      <c r="B6" s="148"/>
    </row>
    <row r="7" spans="1:2" x14ac:dyDescent="0.35">
      <c r="A7" t="s">
        <v>322</v>
      </c>
    </row>
    <row r="8" spans="1:2" x14ac:dyDescent="0.35">
      <c r="A8" t="s">
        <v>323</v>
      </c>
    </row>
    <row r="9" spans="1:2" x14ac:dyDescent="0.35">
      <c r="A9" t="s">
        <v>324</v>
      </c>
    </row>
    <row r="10" spans="1:2" x14ac:dyDescent="0.35">
      <c r="A10" t="s">
        <v>325</v>
      </c>
    </row>
    <row r="11" spans="1:2" x14ac:dyDescent="0.35">
      <c r="A11" t="s">
        <v>326</v>
      </c>
    </row>
    <row r="13" spans="1:2" x14ac:dyDescent="0.35">
      <c r="A13" s="147" t="s">
        <v>327</v>
      </c>
      <c r="B13" s="148"/>
    </row>
    <row r="14" spans="1:2" x14ac:dyDescent="0.35">
      <c r="A14" s="161" t="s">
        <v>328</v>
      </c>
      <c r="B14" s="162"/>
    </row>
    <row r="15" spans="1:2" x14ac:dyDescent="0.35">
      <c r="A15" s="163"/>
      <c r="B15" s="164"/>
    </row>
    <row r="16" spans="1:2" x14ac:dyDescent="0.35">
      <c r="A16" s="163"/>
      <c r="B16" s="164"/>
    </row>
    <row r="17" spans="1:2" x14ac:dyDescent="0.35">
      <c r="A17" s="165"/>
      <c r="B17" s="166"/>
    </row>
    <row r="20" spans="1:2" x14ac:dyDescent="0.35">
      <c r="A20" s="147" t="s">
        <v>329</v>
      </c>
      <c r="B20" s="148"/>
    </row>
    <row r="21" spans="1:2" x14ac:dyDescent="0.35">
      <c r="A21" t="s">
        <v>330</v>
      </c>
    </row>
    <row r="22" spans="1:2" x14ac:dyDescent="0.35">
      <c r="A22" t="s">
        <v>331</v>
      </c>
    </row>
    <row r="23" spans="1:2" x14ac:dyDescent="0.35">
      <c r="A23" t="s">
        <v>332</v>
      </c>
    </row>
    <row r="24" spans="1:2" x14ac:dyDescent="0.35">
      <c r="A24" t="s">
        <v>333</v>
      </c>
    </row>
    <row r="25" spans="1:2" x14ac:dyDescent="0.35">
      <c r="A25" t="s">
        <v>334</v>
      </c>
    </row>
    <row r="26" spans="1:2" x14ac:dyDescent="0.35">
      <c r="A26" t="s">
        <v>335</v>
      </c>
    </row>
    <row r="27" spans="1:2" x14ac:dyDescent="0.35">
      <c r="A27" t="s">
        <v>336</v>
      </c>
    </row>
    <row r="30" spans="1:2" x14ac:dyDescent="0.35">
      <c r="A30" s="147" t="s">
        <v>337</v>
      </c>
      <c r="B30" s="148"/>
    </row>
    <row r="32" spans="1:2" x14ac:dyDescent="0.35">
      <c r="A32" s="153" t="s">
        <v>338</v>
      </c>
      <c r="B32" s="149" t="s">
        <v>243</v>
      </c>
    </row>
    <row r="33" spans="1:2" x14ac:dyDescent="0.35">
      <c r="A33" s="150" t="s">
        <v>339</v>
      </c>
      <c r="B33" s="150">
        <f>219</f>
        <v>219</v>
      </c>
    </row>
    <row r="34" spans="1:2" x14ac:dyDescent="0.35">
      <c r="A34" s="150" t="s">
        <v>343</v>
      </c>
      <c r="B34" s="150">
        <v>156.52000000000001</v>
      </c>
    </row>
    <row r="35" spans="1:2" x14ac:dyDescent="0.35">
      <c r="A35" s="150" t="s">
        <v>340</v>
      </c>
      <c r="B35" s="151">
        <v>0.40200000000000002</v>
      </c>
    </row>
    <row r="36" spans="1:2" x14ac:dyDescent="0.35">
      <c r="A36" s="150" t="s">
        <v>198</v>
      </c>
      <c r="B36" s="151">
        <v>0.13850000000000001</v>
      </c>
    </row>
    <row r="37" spans="1:2" x14ac:dyDescent="0.35">
      <c r="A37" s="64" t="s">
        <v>341</v>
      </c>
      <c r="B37" s="152">
        <v>0.03</v>
      </c>
    </row>
    <row r="38" spans="1:2" x14ac:dyDescent="0.35">
      <c r="A38" s="69" t="s">
        <v>344</v>
      </c>
      <c r="B38" s="7"/>
    </row>
    <row r="55" spans="1:2" x14ac:dyDescent="0.35">
      <c r="A55" s="157" t="s">
        <v>342</v>
      </c>
      <c r="B55" s="158"/>
    </row>
    <row r="56" spans="1:2" x14ac:dyDescent="0.35">
      <c r="A56" s="159"/>
      <c r="B56" s="160"/>
    </row>
  </sheetData>
  <mergeCells count="2">
    <mergeCell ref="A55:B56"/>
    <mergeCell ref="A14: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24864-6A78-40D0-92E5-C374D24FB641}">
  <dimension ref="A1:Y49"/>
  <sheetViews>
    <sheetView showGridLines="0" zoomScale="80" zoomScaleNormal="80" workbookViewId="0">
      <selection activeCell="G10" sqref="G10"/>
    </sheetView>
  </sheetViews>
  <sheetFormatPr defaultRowHeight="14.5" x14ac:dyDescent="0.35"/>
  <cols>
    <col min="1" max="1" width="37.453125" bestFit="1" customWidth="1"/>
    <col min="2" max="2" width="42.81640625" bestFit="1" customWidth="1"/>
    <col min="3" max="3" width="32.7265625" bestFit="1" customWidth="1"/>
    <col min="4" max="4" width="29.7265625" bestFit="1" customWidth="1"/>
    <col min="5" max="6" width="16.36328125" bestFit="1" customWidth="1"/>
    <col min="13" max="13" width="11.36328125" bestFit="1" customWidth="1"/>
  </cols>
  <sheetData>
    <row r="1" spans="1:25" x14ac:dyDescent="0.35">
      <c r="X1" s="2" t="s">
        <v>315</v>
      </c>
      <c r="Y1" s="2" t="s">
        <v>243</v>
      </c>
    </row>
    <row r="2" spans="1:25" ht="21" x14ac:dyDescent="0.5">
      <c r="B2" s="40" t="s">
        <v>211</v>
      </c>
      <c r="X2" t="s">
        <v>208</v>
      </c>
      <c r="Y2">
        <f>206</f>
        <v>206</v>
      </c>
    </row>
    <row r="3" spans="1:25" x14ac:dyDescent="0.35">
      <c r="B3" t="s">
        <v>212</v>
      </c>
      <c r="X3" t="s">
        <v>207</v>
      </c>
      <c r="Y3">
        <f>219</f>
        <v>219</v>
      </c>
    </row>
    <row r="4" spans="1:25" x14ac:dyDescent="0.35">
      <c r="X4" t="s">
        <v>206</v>
      </c>
      <c r="Y4">
        <f>230</f>
        <v>230</v>
      </c>
    </row>
    <row r="5" spans="1:25" ht="16" x14ac:dyDescent="0.4">
      <c r="B5" s="167" t="s">
        <v>215</v>
      </c>
      <c r="C5" s="168"/>
      <c r="D5" s="168"/>
      <c r="E5" s="169"/>
      <c r="X5" t="s">
        <v>316</v>
      </c>
      <c r="Y5">
        <f>156.52</f>
        <v>156.52000000000001</v>
      </c>
    </row>
    <row r="6" spans="1:25" ht="18.5" x14ac:dyDescent="0.45">
      <c r="B6" s="52" t="s">
        <v>210</v>
      </c>
      <c r="C6" s="56">
        <v>2</v>
      </c>
      <c r="E6" s="42"/>
      <c r="I6" s="1"/>
    </row>
    <row r="7" spans="1:25" ht="18.5" customHeight="1" x14ac:dyDescent="0.35">
      <c r="B7" s="43"/>
      <c r="C7" s="44" t="str">
        <f>IF(C6=1,"Bull Case: High Growth / Low WACC",IF(C6=2,"Base Case: Current Market View","Bear Case: Recessionary / High WACC"))</f>
        <v>Base Case: Current Market View</v>
      </c>
      <c r="D7" s="45"/>
      <c r="E7" s="46"/>
    </row>
    <row r="8" spans="1:25" x14ac:dyDescent="0.35">
      <c r="C8" s="47"/>
    </row>
    <row r="9" spans="1:25" x14ac:dyDescent="0.35">
      <c r="C9" s="47"/>
    </row>
    <row r="10" spans="1:25" ht="16" x14ac:dyDescent="0.4">
      <c r="B10" s="167" t="s">
        <v>216</v>
      </c>
      <c r="C10" s="170"/>
      <c r="D10" s="170"/>
      <c r="E10" s="171"/>
    </row>
    <row r="11" spans="1:25" ht="21" x14ac:dyDescent="0.5">
      <c r="B11" s="41" t="s">
        <v>213</v>
      </c>
      <c r="C11" s="48">
        <f>'DCF Valuation'!B34</f>
        <v>219.48848059439612</v>
      </c>
      <c r="E11" s="42"/>
    </row>
    <row r="12" spans="1:25" ht="16" x14ac:dyDescent="0.4">
      <c r="A12" s="2"/>
      <c r="B12" s="41" t="s">
        <v>217</v>
      </c>
      <c r="C12" s="57">
        <f>156.52</f>
        <v>156.52000000000001</v>
      </c>
      <c r="E12" s="42"/>
    </row>
    <row r="13" spans="1:25" ht="16" x14ac:dyDescent="0.4">
      <c r="A13" s="2"/>
      <c r="B13" s="155" t="s">
        <v>345</v>
      </c>
      <c r="C13" s="57"/>
      <c r="E13" s="42"/>
    </row>
    <row r="14" spans="1:25" ht="16" x14ac:dyDescent="0.4">
      <c r="B14" s="49" t="s">
        <v>214</v>
      </c>
      <c r="C14" s="53">
        <f>(C11/C12)-1</f>
        <v>0.4023030960541536</v>
      </c>
      <c r="D14" s="50"/>
      <c r="E14" s="51"/>
      <c r="F14" s="12"/>
    </row>
    <row r="15" spans="1:25" x14ac:dyDescent="0.35">
      <c r="B15" s="12"/>
      <c r="C15" s="12"/>
      <c r="D15" s="12"/>
      <c r="E15" s="12"/>
      <c r="F15" s="12"/>
    </row>
    <row r="16" spans="1:25" ht="13" customHeight="1" x14ac:dyDescent="0.35">
      <c r="B16" s="54"/>
      <c r="C16" s="12"/>
      <c r="D16" s="12"/>
      <c r="E16" s="12"/>
      <c r="F16" s="12"/>
    </row>
    <row r="17" spans="1:6" ht="16" x14ac:dyDescent="0.4">
      <c r="A17" s="2"/>
      <c r="B17" s="172" t="s">
        <v>218</v>
      </c>
      <c r="C17" s="173"/>
      <c r="D17" s="173"/>
      <c r="E17" s="174"/>
      <c r="F17" s="11"/>
    </row>
    <row r="18" spans="1:6" x14ac:dyDescent="0.35">
      <c r="B18" s="41" t="s">
        <v>219</v>
      </c>
      <c r="C18" s="58">
        <f>Assumptions!B249</f>
        <v>0</v>
      </c>
      <c r="D18" s="13"/>
      <c r="E18" s="55"/>
      <c r="F18" s="13"/>
    </row>
    <row r="19" spans="1:6" x14ac:dyDescent="0.35">
      <c r="B19" s="41" t="s">
        <v>220</v>
      </c>
      <c r="C19" s="59">
        <f>Assumptions!B250</f>
        <v>0</v>
      </c>
      <c r="E19" s="42"/>
    </row>
    <row r="20" spans="1:6" x14ac:dyDescent="0.35">
      <c r="B20" s="41" t="s">
        <v>221</v>
      </c>
      <c r="C20" s="59">
        <f>Assumptions!B251</f>
        <v>0</v>
      </c>
      <c r="E20" s="42"/>
    </row>
    <row r="21" spans="1:6" x14ac:dyDescent="0.35">
      <c r="A21" s="2"/>
      <c r="B21" s="43" t="s">
        <v>222</v>
      </c>
      <c r="C21" s="60">
        <f>Assumptions!B252</f>
        <v>0</v>
      </c>
      <c r="D21" s="45"/>
      <c r="E21" s="46"/>
    </row>
    <row r="22" spans="1:6" x14ac:dyDescent="0.35">
      <c r="A22" s="2"/>
      <c r="C22" s="3"/>
    </row>
    <row r="23" spans="1:6" x14ac:dyDescent="0.35">
      <c r="A23" s="2"/>
      <c r="C23" s="3"/>
    </row>
    <row r="24" spans="1:6" x14ac:dyDescent="0.35">
      <c r="A24" s="2"/>
      <c r="C24" s="3"/>
    </row>
    <row r="25" spans="1:6" x14ac:dyDescent="0.35">
      <c r="A25" s="2"/>
      <c r="C25" s="3"/>
    </row>
    <row r="26" spans="1:6" x14ac:dyDescent="0.35">
      <c r="A26" s="2"/>
      <c r="C26" s="3"/>
    </row>
    <row r="27" spans="1:6" x14ac:dyDescent="0.35">
      <c r="A27" s="2"/>
      <c r="C27" s="3"/>
    </row>
    <row r="28" spans="1:6" x14ac:dyDescent="0.35">
      <c r="A28" s="2"/>
      <c r="C28" s="3"/>
    </row>
    <row r="29" spans="1:6" x14ac:dyDescent="0.35">
      <c r="A29" s="2"/>
      <c r="C29" s="3"/>
    </row>
    <row r="30" spans="1:6" x14ac:dyDescent="0.35">
      <c r="A30" s="2"/>
      <c r="C30" s="3"/>
    </row>
    <row r="31" spans="1:6" x14ac:dyDescent="0.35">
      <c r="A31" s="2"/>
      <c r="C31" s="3"/>
    </row>
    <row r="32" spans="1:6" x14ac:dyDescent="0.35">
      <c r="A32" s="2"/>
      <c r="C32" s="3"/>
    </row>
    <row r="33" spans="1:6" x14ac:dyDescent="0.35">
      <c r="A33" s="2"/>
      <c r="C33" s="3"/>
    </row>
    <row r="34" spans="1:6" x14ac:dyDescent="0.35">
      <c r="A34" s="2"/>
      <c r="C34" s="3"/>
    </row>
    <row r="35" spans="1:6" x14ac:dyDescent="0.35">
      <c r="A35" s="2"/>
      <c r="C35" s="3"/>
    </row>
    <row r="36" spans="1:6" x14ac:dyDescent="0.35">
      <c r="A36" s="2"/>
      <c r="C36" s="3"/>
    </row>
    <row r="37" spans="1:6" x14ac:dyDescent="0.35">
      <c r="A37" s="2"/>
      <c r="C37" s="3"/>
    </row>
    <row r="38" spans="1:6" x14ac:dyDescent="0.35">
      <c r="A38" s="2"/>
      <c r="C38" s="3"/>
    </row>
    <row r="39" spans="1:6" x14ac:dyDescent="0.35">
      <c r="A39" s="2"/>
      <c r="C39" s="3"/>
    </row>
    <row r="40" spans="1:6" x14ac:dyDescent="0.35">
      <c r="A40" s="2"/>
      <c r="C40" s="3"/>
    </row>
    <row r="41" spans="1:6" x14ac:dyDescent="0.35">
      <c r="A41" s="2"/>
      <c r="C41" s="3"/>
    </row>
    <row r="42" spans="1:6" x14ac:dyDescent="0.35">
      <c r="A42" s="2"/>
    </row>
    <row r="44" spans="1:6" ht="14.5" customHeight="1" x14ac:dyDescent="0.35">
      <c r="A44" s="2"/>
      <c r="B44" s="175" t="s">
        <v>317</v>
      </c>
      <c r="C44" s="176"/>
      <c r="D44" s="176"/>
      <c r="E44" s="177"/>
    </row>
    <row r="45" spans="1:6" x14ac:dyDescent="0.35">
      <c r="B45" s="178"/>
      <c r="C45" s="179"/>
      <c r="D45" s="179"/>
      <c r="E45" s="180"/>
      <c r="F45" s="9"/>
    </row>
    <row r="46" spans="1:6" x14ac:dyDescent="0.35">
      <c r="B46" s="178"/>
      <c r="C46" s="179"/>
      <c r="D46" s="179"/>
      <c r="E46" s="180"/>
    </row>
    <row r="47" spans="1:6" x14ac:dyDescent="0.35">
      <c r="B47" s="178"/>
      <c r="C47" s="179"/>
      <c r="D47" s="179"/>
      <c r="E47" s="180"/>
    </row>
    <row r="48" spans="1:6" x14ac:dyDescent="0.35">
      <c r="B48" s="178"/>
      <c r="C48" s="179"/>
      <c r="D48" s="179"/>
      <c r="E48" s="180"/>
    </row>
    <row r="49" spans="2:5" x14ac:dyDescent="0.35">
      <c r="B49" s="181"/>
      <c r="C49" s="182"/>
      <c r="D49" s="182"/>
      <c r="E49" s="183"/>
    </row>
  </sheetData>
  <mergeCells count="4">
    <mergeCell ref="B5:E5"/>
    <mergeCell ref="B10:E10"/>
    <mergeCell ref="B17:E17"/>
    <mergeCell ref="B44:E49"/>
  </mergeCells>
  <dataValidations count="1">
    <dataValidation type="list" allowBlank="1" showInputMessage="1" showErrorMessage="1" sqref="C6" xr:uid="{1633A382-28E3-4F4B-B1E1-59D48E95C9B4}">
      <formula1>"1,2,3"</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57DEA-BD9E-4CF5-92F8-96BB14F2A2DD}">
  <dimension ref="A2:J252"/>
  <sheetViews>
    <sheetView tabSelected="1" zoomScale="90" zoomScaleNormal="90" workbookViewId="0">
      <selection activeCell="D236" sqref="D236"/>
    </sheetView>
  </sheetViews>
  <sheetFormatPr defaultRowHeight="14.5" outlineLevelRow="1" x14ac:dyDescent="0.35"/>
  <cols>
    <col min="1" max="1" width="58.90625" bestFit="1" customWidth="1"/>
    <col min="2" max="2" width="17.7265625" bestFit="1" customWidth="1"/>
    <col min="3" max="3" width="42.26953125" bestFit="1" customWidth="1"/>
    <col min="4" max="5" width="16.54296875" bestFit="1" customWidth="1"/>
    <col min="6" max="6" width="17.90625" bestFit="1" customWidth="1"/>
    <col min="7" max="7" width="18.1796875" customWidth="1"/>
    <col min="8" max="8" width="21.54296875" customWidth="1"/>
    <col min="9" max="9" width="19.81640625" customWidth="1"/>
    <col min="10" max="10" width="22.7265625" customWidth="1"/>
  </cols>
  <sheetData>
    <row r="2" spans="1:6" ht="16" x14ac:dyDescent="0.4">
      <c r="A2" s="66" t="s">
        <v>15</v>
      </c>
      <c r="B2" s="67"/>
    </row>
    <row r="3" spans="1:6" x14ac:dyDescent="0.35">
      <c r="B3" s="45"/>
    </row>
    <row r="4" spans="1:6" x14ac:dyDescent="0.35">
      <c r="A4" s="75" t="s">
        <v>235</v>
      </c>
      <c r="B4" s="90" t="s">
        <v>46</v>
      </c>
    </row>
    <row r="5" spans="1:6" ht="16" x14ac:dyDescent="0.4">
      <c r="A5" s="64" t="s">
        <v>234</v>
      </c>
      <c r="B5" s="65">
        <v>1.4999999999999999E-2</v>
      </c>
    </row>
    <row r="6" spans="1:6" ht="16" x14ac:dyDescent="0.4">
      <c r="B6" s="68"/>
    </row>
    <row r="8" spans="1:6" x14ac:dyDescent="0.35">
      <c r="A8" s="2" t="s">
        <v>237</v>
      </c>
    </row>
    <row r="9" spans="1:6" x14ac:dyDescent="0.35">
      <c r="A9" t="s">
        <v>0</v>
      </c>
      <c r="B9" s="37" t="s">
        <v>3</v>
      </c>
      <c r="C9" s="37" t="s">
        <v>4</v>
      </c>
      <c r="D9" s="37" t="s">
        <v>5</v>
      </c>
      <c r="E9" s="37" t="s">
        <v>6</v>
      </c>
      <c r="F9" s="37" t="s">
        <v>7</v>
      </c>
    </row>
    <row r="10" spans="1:6" x14ac:dyDescent="0.35">
      <c r="A10" t="s">
        <v>16</v>
      </c>
      <c r="B10">
        <v>22827</v>
      </c>
      <c r="C10">
        <v>28083</v>
      </c>
      <c r="D10">
        <v>32853</v>
      </c>
      <c r="E10">
        <v>37944</v>
      </c>
      <c r="F10">
        <v>40933</v>
      </c>
    </row>
    <row r="11" spans="1:6" x14ac:dyDescent="0.35">
      <c r="A11" t="s">
        <v>17</v>
      </c>
      <c r="B11">
        <f>B23</f>
        <v>296</v>
      </c>
      <c r="C11">
        <f>C23</f>
        <v>580</v>
      </c>
      <c r="D11">
        <f>D23</f>
        <v>756</v>
      </c>
      <c r="E11">
        <f>E23</f>
        <v>915</v>
      </c>
      <c r="F11">
        <f>F23</f>
        <v>797</v>
      </c>
    </row>
    <row r="12" spans="1:6" x14ac:dyDescent="0.35">
      <c r="A12" t="s">
        <v>18</v>
      </c>
      <c r="B12" s="3">
        <f>B11/B10</f>
        <v>1.2967100363604503E-2</v>
      </c>
      <c r="C12" s="3">
        <f>C11/C10</f>
        <v>2.0653064131325002E-2</v>
      </c>
      <c r="D12" s="3">
        <f>D11/D10</f>
        <v>2.3011597114418775E-2</v>
      </c>
      <c r="E12" s="3">
        <f>E11/E10</f>
        <v>2.4114484503478809E-2</v>
      </c>
      <c r="F12" s="3">
        <f>F11/F10</f>
        <v>1.9470842596438082E-2</v>
      </c>
    </row>
    <row r="13" spans="1:6" x14ac:dyDescent="0.35">
      <c r="A13" s="69" t="s">
        <v>242</v>
      </c>
      <c r="B13" s="3"/>
      <c r="C13" s="3"/>
      <c r="D13" s="3"/>
      <c r="E13" s="3"/>
      <c r="F13" s="3"/>
    </row>
    <row r="14" spans="1:6" x14ac:dyDescent="0.35">
      <c r="B14" s="3"/>
      <c r="C14" s="3"/>
      <c r="D14" s="3"/>
      <c r="E14" s="3"/>
      <c r="F14" s="3"/>
    </row>
    <row r="15" spans="1:6" x14ac:dyDescent="0.35">
      <c r="A15" s="71" t="s">
        <v>236</v>
      </c>
      <c r="B15" s="63"/>
      <c r="C15" s="63"/>
      <c r="D15" s="63"/>
      <c r="E15" s="63"/>
      <c r="F15" s="63"/>
    </row>
    <row r="16" spans="1:6" x14ac:dyDescent="0.35">
      <c r="A16" s="70" t="s">
        <v>8</v>
      </c>
      <c r="B16" s="70"/>
      <c r="C16" s="70"/>
      <c r="D16" s="70"/>
      <c r="E16" s="70"/>
      <c r="F16" s="70"/>
    </row>
    <row r="17" spans="1:6" x14ac:dyDescent="0.35">
      <c r="A17" s="70" t="s">
        <v>0</v>
      </c>
      <c r="B17" s="73" t="s">
        <v>238</v>
      </c>
      <c r="C17" s="73" t="s">
        <v>239</v>
      </c>
      <c r="D17" s="73" t="s">
        <v>240</v>
      </c>
      <c r="E17" s="73" t="s">
        <v>241</v>
      </c>
      <c r="F17" s="73" t="s">
        <v>1</v>
      </c>
    </row>
    <row r="18" spans="1:6" x14ac:dyDescent="0.35">
      <c r="A18" s="70" t="s">
        <v>9</v>
      </c>
      <c r="B18" s="70">
        <v>2236</v>
      </c>
      <c r="C18" s="70">
        <v>2518</v>
      </c>
      <c r="D18" s="70">
        <v>3598</v>
      </c>
      <c r="E18" s="70">
        <v>4072</v>
      </c>
      <c r="F18" s="70">
        <v>4254</v>
      </c>
    </row>
    <row r="19" spans="1:6" x14ac:dyDescent="0.35">
      <c r="A19" s="70" t="s">
        <v>10</v>
      </c>
      <c r="B19" s="70">
        <v>2137</v>
      </c>
      <c r="C19" s="70">
        <v>2236</v>
      </c>
      <c r="D19" s="70">
        <v>2518</v>
      </c>
      <c r="E19" s="70">
        <v>3598</v>
      </c>
      <c r="F19" s="70">
        <v>4072</v>
      </c>
    </row>
    <row r="20" spans="1:6" x14ac:dyDescent="0.35">
      <c r="A20" s="70" t="s">
        <v>11</v>
      </c>
      <c r="B20" s="70">
        <f>B18-B19</f>
        <v>99</v>
      </c>
      <c r="C20" s="70">
        <f>C18-C19</f>
        <v>282</v>
      </c>
      <c r="D20" s="70">
        <f>D18-D19</f>
        <v>1080</v>
      </c>
      <c r="E20" s="70">
        <f>E18-E19</f>
        <v>474</v>
      </c>
      <c r="F20" s="70">
        <f>F18-F19</f>
        <v>182</v>
      </c>
    </row>
    <row r="21" spans="1:6" x14ac:dyDescent="0.35">
      <c r="A21" s="70" t="s">
        <v>12</v>
      </c>
      <c r="B21" s="70">
        <v>321</v>
      </c>
      <c r="C21" s="70">
        <v>320</v>
      </c>
      <c r="D21" s="70">
        <v>355</v>
      </c>
      <c r="E21" s="70">
        <v>538</v>
      </c>
      <c r="F21" s="70">
        <v>578</v>
      </c>
    </row>
    <row r="22" spans="1:6" x14ac:dyDescent="0.35">
      <c r="A22" s="70" t="s">
        <v>13</v>
      </c>
      <c r="B22" s="70">
        <f>SUM(B20,B21)</f>
        <v>420</v>
      </c>
      <c r="C22" s="70">
        <f>SUM(C20,C21)</f>
        <v>602</v>
      </c>
      <c r="D22" s="70">
        <f>SUM(D20,D21)</f>
        <v>1435</v>
      </c>
      <c r="E22" s="70">
        <f>SUM(E20,E21)</f>
        <v>1012</v>
      </c>
      <c r="F22" s="70">
        <f>SUM(F20,F21)</f>
        <v>760</v>
      </c>
    </row>
    <row r="23" spans="1:6" x14ac:dyDescent="0.35">
      <c r="A23" s="70" t="s">
        <v>14</v>
      </c>
      <c r="B23" s="70">
        <v>296</v>
      </c>
      <c r="C23" s="70">
        <v>580</v>
      </c>
      <c r="D23" s="70">
        <v>756</v>
      </c>
      <c r="E23" s="70">
        <v>915</v>
      </c>
      <c r="F23" s="70">
        <v>797</v>
      </c>
    </row>
    <row r="24" spans="1:6" x14ac:dyDescent="0.35">
      <c r="A24" s="71" t="s">
        <v>2</v>
      </c>
      <c r="B24" s="71">
        <f>B22-B23</f>
        <v>124</v>
      </c>
      <c r="C24" s="71">
        <f>C22-C23</f>
        <v>22</v>
      </c>
      <c r="D24" s="71">
        <f>D22-D23</f>
        <v>679</v>
      </c>
      <c r="E24" s="71">
        <f>E22-E23</f>
        <v>97</v>
      </c>
      <c r="F24" s="72">
        <f>F22-F23</f>
        <v>-37</v>
      </c>
    </row>
    <row r="27" spans="1:6" x14ac:dyDescent="0.35">
      <c r="A27" s="74" t="s">
        <v>135</v>
      </c>
      <c r="B27" s="67"/>
    </row>
    <row r="28" spans="1:6" x14ac:dyDescent="0.35">
      <c r="A28" s="2"/>
    </row>
    <row r="29" spans="1:6" x14ac:dyDescent="0.35">
      <c r="A29" s="75" t="s">
        <v>235</v>
      </c>
      <c r="B29" s="77" t="s">
        <v>243</v>
      </c>
    </row>
    <row r="30" spans="1:6" ht="16" x14ac:dyDescent="0.4">
      <c r="A30" s="75" t="s">
        <v>247</v>
      </c>
      <c r="B30" s="76">
        <f>14%</f>
        <v>0.14000000000000001</v>
      </c>
    </row>
    <row r="31" spans="1:6" ht="16" x14ac:dyDescent="0.4">
      <c r="B31" s="78"/>
    </row>
    <row r="33" spans="1:6" x14ac:dyDescent="0.35">
      <c r="A33" s="2" t="s">
        <v>256</v>
      </c>
    </row>
    <row r="34" spans="1:6" x14ac:dyDescent="0.35">
      <c r="B34" s="37" t="s">
        <v>3</v>
      </c>
      <c r="C34" s="37" t="s">
        <v>4</v>
      </c>
      <c r="D34" s="37" t="s">
        <v>5</v>
      </c>
      <c r="E34" s="37" t="s">
        <v>6</v>
      </c>
      <c r="F34" s="37" t="s">
        <v>7</v>
      </c>
    </row>
    <row r="35" spans="1:6" x14ac:dyDescent="0.35">
      <c r="A35" t="s">
        <v>244</v>
      </c>
      <c r="B35">
        <f>B21</f>
        <v>321</v>
      </c>
      <c r="C35">
        <f t="shared" ref="C35:F35" si="0">C21</f>
        <v>320</v>
      </c>
      <c r="D35">
        <f t="shared" si="0"/>
        <v>355</v>
      </c>
      <c r="E35">
        <f t="shared" si="0"/>
        <v>538</v>
      </c>
      <c r="F35">
        <f t="shared" si="0"/>
        <v>578</v>
      </c>
    </row>
    <row r="36" spans="1:6" x14ac:dyDescent="0.35">
      <c r="A36" t="s">
        <v>245</v>
      </c>
      <c r="B36">
        <f>(B19+B18)/2</f>
        <v>2186.5</v>
      </c>
      <c r="C36">
        <f t="shared" ref="C36:F36" si="1">(C19+C18)/2</f>
        <v>2377</v>
      </c>
      <c r="D36">
        <f t="shared" si="1"/>
        <v>3058</v>
      </c>
      <c r="E36">
        <f t="shared" si="1"/>
        <v>3835</v>
      </c>
      <c r="F36">
        <f t="shared" si="1"/>
        <v>4163</v>
      </c>
    </row>
    <row r="37" spans="1:6" x14ac:dyDescent="0.35">
      <c r="A37" t="s">
        <v>246</v>
      </c>
      <c r="B37" s="62">
        <f>B35/B36</f>
        <v>0.14680997027212439</v>
      </c>
      <c r="C37" s="62">
        <f t="shared" ref="C37:F37" si="2">C35/C36</f>
        <v>0.13462347496844762</v>
      </c>
      <c r="D37" s="62">
        <f t="shared" si="2"/>
        <v>0.11608894702419882</v>
      </c>
      <c r="E37" s="62">
        <f t="shared" si="2"/>
        <v>0.14028683181225554</v>
      </c>
      <c r="F37" s="62">
        <f t="shared" si="2"/>
        <v>0.13884218111938507</v>
      </c>
    </row>
    <row r="38" spans="1:6" x14ac:dyDescent="0.35">
      <c r="A38" s="80" t="s">
        <v>248</v>
      </c>
      <c r="B38" s="70"/>
      <c r="C38" s="70"/>
      <c r="D38" s="70"/>
      <c r="E38" s="70"/>
      <c r="F38" s="70"/>
    </row>
    <row r="41" spans="1:6" x14ac:dyDescent="0.35">
      <c r="A41" s="74" t="s">
        <v>142</v>
      </c>
      <c r="B41" s="67"/>
    </row>
    <row r="42" spans="1:6" x14ac:dyDescent="0.35">
      <c r="A42" s="2"/>
    </row>
    <row r="43" spans="1:6" x14ac:dyDescent="0.35">
      <c r="A43" s="75" t="s">
        <v>249</v>
      </c>
      <c r="B43" s="77" t="s">
        <v>243</v>
      </c>
    </row>
    <row r="44" spans="1:6" ht="16" x14ac:dyDescent="0.4">
      <c r="A44" s="75" t="s">
        <v>143</v>
      </c>
      <c r="B44" s="79">
        <f>2.4%</f>
        <v>2.4E-2</v>
      </c>
    </row>
    <row r="45" spans="1:6" ht="18.5" x14ac:dyDescent="0.45">
      <c r="A45" s="1"/>
    </row>
    <row r="47" spans="1:6" x14ac:dyDescent="0.35">
      <c r="A47" s="2" t="s">
        <v>255</v>
      </c>
    </row>
    <row r="48" spans="1:6" x14ac:dyDescent="0.35">
      <c r="B48" s="37" t="s">
        <v>3</v>
      </c>
      <c r="C48" s="37" t="s">
        <v>4</v>
      </c>
      <c r="D48" s="37" t="s">
        <v>5</v>
      </c>
      <c r="E48" s="37" t="s">
        <v>6</v>
      </c>
      <c r="F48" s="37" t="s">
        <v>7</v>
      </c>
    </row>
    <row r="49" spans="1:6" x14ac:dyDescent="0.35">
      <c r="A49" t="s">
        <v>250</v>
      </c>
      <c r="B49">
        <v>89</v>
      </c>
      <c r="C49">
        <v>114</v>
      </c>
      <c r="D49">
        <v>105</v>
      </c>
      <c r="E49">
        <v>123</v>
      </c>
      <c r="F49">
        <v>120</v>
      </c>
    </row>
    <row r="50" spans="1:6" x14ac:dyDescent="0.35">
      <c r="A50" t="s">
        <v>251</v>
      </c>
      <c r="B50">
        <f>(B52+B51)/2</f>
        <v>1065.5</v>
      </c>
      <c r="C50">
        <f t="shared" ref="C50:F50" si="3">(C52+C51)/2</f>
        <v>1840</v>
      </c>
      <c r="D50">
        <f t="shared" si="3"/>
        <v>3642</v>
      </c>
      <c r="E50">
        <f t="shared" si="3"/>
        <v>5173</v>
      </c>
      <c r="F50">
        <f t="shared" si="3"/>
        <v>5043</v>
      </c>
    </row>
    <row r="51" spans="1:6" x14ac:dyDescent="0.35">
      <c r="A51" s="81" t="s">
        <v>253</v>
      </c>
      <c r="B51">
        <v>1641</v>
      </c>
      <c r="C51">
        <v>2039</v>
      </c>
      <c r="D51">
        <v>5245</v>
      </c>
      <c r="E51">
        <v>5101</v>
      </c>
      <c r="F51">
        <v>4985</v>
      </c>
    </row>
    <row r="52" spans="1:6" x14ac:dyDescent="0.35">
      <c r="A52" s="81" t="s">
        <v>254</v>
      </c>
      <c r="B52">
        <v>490</v>
      </c>
      <c r="C52">
        <v>1641</v>
      </c>
      <c r="D52">
        <v>2039</v>
      </c>
      <c r="E52">
        <v>5245</v>
      </c>
      <c r="F52">
        <v>5101</v>
      </c>
    </row>
    <row r="53" spans="1:6" x14ac:dyDescent="0.35">
      <c r="A53" t="s">
        <v>252</v>
      </c>
      <c r="B53" s="3">
        <f>B49/B50</f>
        <v>8.3528859690286256E-2</v>
      </c>
      <c r="C53" s="3">
        <f t="shared" ref="C53:F53" si="4">C49/C50</f>
        <v>6.1956521739130438E-2</v>
      </c>
      <c r="D53" s="3">
        <f t="shared" si="4"/>
        <v>2.8830313014827018E-2</v>
      </c>
      <c r="E53" s="3">
        <f t="shared" si="4"/>
        <v>2.377730523873961E-2</v>
      </c>
      <c r="F53" s="3">
        <f t="shared" si="4"/>
        <v>2.3795359904818559E-2</v>
      </c>
    </row>
    <row r="54" spans="1:6" x14ac:dyDescent="0.35">
      <c r="A54" s="69" t="s">
        <v>257</v>
      </c>
    </row>
    <row r="55" spans="1:6" x14ac:dyDescent="0.35">
      <c r="A55" s="69"/>
    </row>
    <row r="56" spans="1:6" x14ac:dyDescent="0.35">
      <c r="A56" s="69"/>
    </row>
    <row r="57" spans="1:6" ht="16" x14ac:dyDescent="0.4">
      <c r="A57" s="66" t="s">
        <v>258</v>
      </c>
      <c r="B57" s="67"/>
    </row>
    <row r="58" spans="1:6" x14ac:dyDescent="0.35">
      <c r="A58" s="69"/>
    </row>
    <row r="59" spans="1:6" x14ac:dyDescent="0.35">
      <c r="A59" s="82" t="s">
        <v>235</v>
      </c>
      <c r="B59" s="77" t="s">
        <v>46</v>
      </c>
    </row>
    <row r="60" spans="1:6" x14ac:dyDescent="0.35">
      <c r="A60" s="41" t="s">
        <v>259</v>
      </c>
      <c r="B60" s="88">
        <f>0.075 + $B$249</f>
        <v>7.4999999999999997E-2</v>
      </c>
    </row>
    <row r="61" spans="1:6" x14ac:dyDescent="0.35">
      <c r="A61" s="41" t="s">
        <v>260</v>
      </c>
      <c r="B61" s="88">
        <f>0.07 + $B$249</f>
        <v>7.0000000000000007E-2</v>
      </c>
    </row>
    <row r="62" spans="1:6" x14ac:dyDescent="0.35">
      <c r="A62" s="41" t="s">
        <v>261</v>
      </c>
      <c r="B62" s="88">
        <f>'Operational Sensitivity'!$Z$1</f>
        <v>0.06</v>
      </c>
    </row>
    <row r="63" spans="1:6" x14ac:dyDescent="0.35">
      <c r="A63" s="41" t="s">
        <v>262</v>
      </c>
      <c r="B63" s="88">
        <f>0.05 + $B$249</f>
        <v>0.05</v>
      </c>
    </row>
    <row r="64" spans="1:6" x14ac:dyDescent="0.35">
      <c r="A64" s="41" t="s">
        <v>263</v>
      </c>
      <c r="B64" s="88">
        <f>0.04 + $B$249</f>
        <v>0.04</v>
      </c>
    </row>
    <row r="65" spans="1:10" x14ac:dyDescent="0.35">
      <c r="A65" s="43" t="s">
        <v>264</v>
      </c>
      <c r="B65" s="89">
        <f>0.03 + $B$252</f>
        <v>0.03</v>
      </c>
    </row>
    <row r="66" spans="1:10" x14ac:dyDescent="0.35">
      <c r="A66" s="69"/>
    </row>
    <row r="68" spans="1:10" ht="18.5" x14ac:dyDescent="0.45">
      <c r="A68" s="2" t="s">
        <v>266</v>
      </c>
      <c r="B68" s="1"/>
      <c r="C68" s="1"/>
      <c r="D68" s="1"/>
      <c r="E68" s="1"/>
      <c r="F68" s="1"/>
      <c r="G68" s="1"/>
      <c r="H68" s="1"/>
      <c r="I68" s="1"/>
      <c r="J68" s="1"/>
    </row>
    <row r="69" spans="1:10" ht="18.5" x14ac:dyDescent="0.45">
      <c r="A69" t="s">
        <v>229</v>
      </c>
      <c r="B69" s="83" t="s">
        <v>230</v>
      </c>
      <c r="C69" s="83" t="s">
        <v>231</v>
      </c>
      <c r="D69" s="83" t="s">
        <v>232</v>
      </c>
      <c r="E69" s="83" t="s">
        <v>227</v>
      </c>
      <c r="J69" s="1"/>
    </row>
    <row r="70" spans="1:10" ht="18.5" x14ac:dyDescent="0.45">
      <c r="A70">
        <v>2021</v>
      </c>
      <c r="B70">
        <v>1418</v>
      </c>
      <c r="D70" s="62">
        <f xml:space="preserve"> -5.1%</f>
        <v>-5.0999999999999997E-2</v>
      </c>
      <c r="E70" s="7">
        <v>0.02</v>
      </c>
      <c r="F70" s="3"/>
      <c r="G70" s="1"/>
      <c r="H70" s="1"/>
      <c r="I70" s="1"/>
      <c r="J70" s="1"/>
    </row>
    <row r="71" spans="1:10" ht="18.5" x14ac:dyDescent="0.45">
      <c r="A71">
        <v>2022</v>
      </c>
      <c r="B71">
        <v>1721</v>
      </c>
      <c r="C71" s="7">
        <f>(B71/B70)-1</f>
        <v>0.21368124118476728</v>
      </c>
      <c r="D71" s="62">
        <v>0.14099999999999999</v>
      </c>
      <c r="E71" s="7">
        <v>0.02</v>
      </c>
      <c r="F71" s="3"/>
      <c r="G71" s="1"/>
      <c r="H71" s="1"/>
      <c r="I71" s="1"/>
      <c r="J71" s="1"/>
    </row>
    <row r="72" spans="1:10" ht="18.5" x14ac:dyDescent="0.45">
      <c r="A72">
        <v>2023</v>
      </c>
      <c r="B72">
        <v>2702</v>
      </c>
      <c r="C72" s="7">
        <f>(B72/B71)-1</f>
        <v>0.57001743172574093</v>
      </c>
      <c r="D72" s="62">
        <v>-3.4000000000000002E-2</v>
      </c>
      <c r="E72" s="7">
        <v>0.02</v>
      </c>
      <c r="F72" s="3"/>
      <c r="G72" s="1"/>
      <c r="H72" s="1"/>
      <c r="I72" s="1"/>
      <c r="J72" s="1"/>
    </row>
    <row r="73" spans="1:10" ht="18.5" x14ac:dyDescent="0.45">
      <c r="A73">
        <v>2024</v>
      </c>
      <c r="B73">
        <v>2900</v>
      </c>
      <c r="C73" s="7">
        <f>(B73/B72)-1</f>
        <v>7.3279052553663959E-2</v>
      </c>
      <c r="D73" s="62">
        <v>1.7999999999999999E-2</v>
      </c>
      <c r="E73" s="7">
        <v>0.02</v>
      </c>
      <c r="F73" s="3"/>
      <c r="G73" s="1"/>
      <c r="H73" s="1"/>
      <c r="I73" s="1"/>
      <c r="J73" s="1"/>
    </row>
    <row r="74" spans="1:10" ht="18.5" x14ac:dyDescent="0.45">
      <c r="A74">
        <v>2025</v>
      </c>
      <c r="B74">
        <v>3030</v>
      </c>
      <c r="C74" s="7">
        <f>(B74/B73)-1</f>
        <v>4.482758620689653E-2</v>
      </c>
      <c r="D74" s="62">
        <v>3.4000000000000002E-2</v>
      </c>
      <c r="E74" s="7">
        <v>0.02</v>
      </c>
      <c r="F74" s="3"/>
      <c r="G74" s="1"/>
      <c r="H74" s="1"/>
      <c r="I74" s="1"/>
      <c r="J74" s="1"/>
    </row>
    <row r="75" spans="1:10" ht="18.5" x14ac:dyDescent="0.45">
      <c r="G75" s="1"/>
      <c r="H75" s="1"/>
      <c r="I75" s="1"/>
      <c r="J75" s="1"/>
    </row>
    <row r="76" spans="1:10" ht="18.5" x14ac:dyDescent="0.45">
      <c r="A76" t="s">
        <v>224</v>
      </c>
      <c r="B76" s="83" t="s">
        <v>225</v>
      </c>
      <c r="C76" s="83" t="s">
        <v>226</v>
      </c>
      <c r="D76" s="83" t="s">
        <v>227</v>
      </c>
      <c r="E76" s="83" t="s">
        <v>228</v>
      </c>
      <c r="F76" s="1"/>
      <c r="G76" s="1"/>
      <c r="H76" s="1"/>
      <c r="I76" s="1"/>
      <c r="J76" s="1"/>
    </row>
    <row r="77" spans="1:10" ht="18.5" x14ac:dyDescent="0.45">
      <c r="A77">
        <v>2026</v>
      </c>
      <c r="B77" s="62">
        <v>3.5000000000000003E-2</v>
      </c>
      <c r="C77" s="62">
        <v>0.02</v>
      </c>
      <c r="D77" s="62">
        <v>0.02</v>
      </c>
      <c r="E77" s="62">
        <f>SUM(B77:D77)</f>
        <v>7.5000000000000011E-2</v>
      </c>
      <c r="F77" s="1"/>
      <c r="G77" s="1"/>
      <c r="H77" s="1"/>
      <c r="I77" s="1"/>
      <c r="J77" s="1"/>
    </row>
    <row r="78" spans="1:10" ht="18.5" x14ac:dyDescent="0.45">
      <c r="A78">
        <v>2027</v>
      </c>
      <c r="B78" s="62">
        <v>0.03</v>
      </c>
      <c r="C78" s="62">
        <v>0.02</v>
      </c>
      <c r="D78" s="62">
        <v>0.02</v>
      </c>
      <c r="E78" s="62">
        <f t="shared" ref="E78:E81" si="5">SUM(B78:D78)</f>
        <v>7.0000000000000007E-2</v>
      </c>
      <c r="F78" s="1"/>
      <c r="G78" s="1"/>
      <c r="H78" s="1"/>
      <c r="I78" s="1"/>
      <c r="J78" s="1"/>
    </row>
    <row r="79" spans="1:10" ht="18.5" x14ac:dyDescent="0.45">
      <c r="A79">
        <v>2028</v>
      </c>
      <c r="B79" s="62">
        <v>2.5000000000000001E-2</v>
      </c>
      <c r="C79" s="62">
        <v>1.4999999999999999E-2</v>
      </c>
      <c r="D79" s="62">
        <v>0.02</v>
      </c>
      <c r="E79" s="62">
        <f t="shared" si="5"/>
        <v>0.06</v>
      </c>
      <c r="F79" s="1"/>
      <c r="G79" s="1"/>
      <c r="H79" s="1"/>
      <c r="I79" s="1"/>
      <c r="J79" s="1"/>
    </row>
    <row r="80" spans="1:10" ht="18.5" x14ac:dyDescent="0.45">
      <c r="A80">
        <v>2029</v>
      </c>
      <c r="B80" s="62">
        <v>0.02</v>
      </c>
      <c r="C80" s="62">
        <v>0.01</v>
      </c>
      <c r="D80" s="62">
        <v>0.02</v>
      </c>
      <c r="E80" s="62">
        <f t="shared" si="5"/>
        <v>0.05</v>
      </c>
      <c r="F80" s="1"/>
      <c r="G80" s="1"/>
      <c r="H80" s="1"/>
      <c r="I80" s="1"/>
      <c r="J80" s="1"/>
    </row>
    <row r="81" spans="1:10" ht="18.5" x14ac:dyDescent="0.45">
      <c r="A81">
        <v>2030</v>
      </c>
      <c r="B81" s="62">
        <v>1.4999999999999999E-2</v>
      </c>
      <c r="C81" s="62">
        <v>5.0000000000000001E-3</v>
      </c>
      <c r="D81" s="62">
        <v>0.02</v>
      </c>
      <c r="E81" s="62">
        <f t="shared" si="5"/>
        <v>0.04</v>
      </c>
      <c r="F81" s="1"/>
      <c r="G81" s="1"/>
      <c r="H81" s="1"/>
      <c r="I81" s="1"/>
      <c r="J81" s="1"/>
    </row>
    <row r="82" spans="1:10" ht="18.5" x14ac:dyDescent="0.45">
      <c r="B82" s="62"/>
      <c r="C82" s="62"/>
      <c r="D82" s="62"/>
      <c r="E82" s="62"/>
      <c r="F82" s="1"/>
      <c r="G82" s="1"/>
      <c r="H82" s="1"/>
      <c r="I82" s="1"/>
      <c r="J82" s="1"/>
    </row>
    <row r="83" spans="1:10" ht="18.5" x14ac:dyDescent="0.45">
      <c r="B83" s="62"/>
      <c r="C83" s="62"/>
      <c r="D83" s="62"/>
      <c r="E83" s="62"/>
      <c r="F83" s="1"/>
      <c r="G83" s="1"/>
      <c r="H83" s="1"/>
      <c r="I83" s="1"/>
      <c r="J83" s="1"/>
    </row>
    <row r="84" spans="1:10" x14ac:dyDescent="0.35">
      <c r="A84" s="85" t="s">
        <v>265</v>
      </c>
      <c r="B84" s="85"/>
      <c r="C84" s="85"/>
      <c r="D84" s="85"/>
      <c r="E84" s="85"/>
      <c r="F84" s="85"/>
      <c r="G84" s="85"/>
      <c r="H84" s="85"/>
      <c r="I84" s="85"/>
      <c r="J84" s="85"/>
    </row>
    <row r="85" spans="1:10" x14ac:dyDescent="0.35">
      <c r="A85" s="70" t="s">
        <v>0</v>
      </c>
      <c r="B85" s="87" t="s">
        <v>3</v>
      </c>
      <c r="C85" s="87" t="s">
        <v>4</v>
      </c>
      <c r="D85" s="87" t="s">
        <v>19</v>
      </c>
      <c r="E85" s="87" t="s">
        <v>5</v>
      </c>
      <c r="F85" s="87" t="s">
        <v>20</v>
      </c>
      <c r="G85" s="87" t="s">
        <v>6</v>
      </c>
      <c r="H85" s="87" t="s">
        <v>21</v>
      </c>
      <c r="I85" s="87" t="s">
        <v>7</v>
      </c>
      <c r="J85" s="87" t="s">
        <v>233</v>
      </c>
    </row>
    <row r="86" spans="1:10" x14ac:dyDescent="0.35">
      <c r="A86" s="85" t="s">
        <v>16</v>
      </c>
      <c r="B86" s="70">
        <f>B10</f>
        <v>22827</v>
      </c>
      <c r="C86" s="70">
        <f>C10</f>
        <v>28083</v>
      </c>
      <c r="D86" s="86">
        <f>(C86-B86)/B86</f>
        <v>0.23025364699697726</v>
      </c>
      <c r="E86" s="70">
        <f>D10</f>
        <v>32853</v>
      </c>
      <c r="F86" s="86">
        <f>(E86-C86)/C86</f>
        <v>0.16985364811451767</v>
      </c>
      <c r="G86" s="70">
        <f>E10</f>
        <v>37944</v>
      </c>
      <c r="H86" s="86">
        <f>(G86-E86)/E86</f>
        <v>0.15496301707606611</v>
      </c>
      <c r="I86" s="70">
        <f>F10</f>
        <v>40933</v>
      </c>
      <c r="J86" s="86">
        <f>(I86-G86)/G86</f>
        <v>7.8773982711364113E-2</v>
      </c>
    </row>
    <row r="90" spans="1:10" x14ac:dyDescent="0.35">
      <c r="A90" s="74" t="s">
        <v>285</v>
      </c>
      <c r="B90" s="67"/>
    </row>
    <row r="92" spans="1:10" x14ac:dyDescent="0.35">
      <c r="A92" s="82" t="s">
        <v>249</v>
      </c>
      <c r="B92" s="77" t="s">
        <v>243</v>
      </c>
    </row>
    <row r="93" spans="1:10" x14ac:dyDescent="0.35">
      <c r="A93" s="41" t="s">
        <v>286</v>
      </c>
      <c r="B93" s="111">
        <f>10.5%</f>
        <v>0.105</v>
      </c>
    </row>
    <row r="94" spans="1:10" x14ac:dyDescent="0.35">
      <c r="A94" s="41" t="s">
        <v>287</v>
      </c>
      <c r="B94" s="111">
        <f>10.3%</f>
        <v>0.10300000000000001</v>
      </c>
    </row>
    <row r="95" spans="1:10" x14ac:dyDescent="0.35">
      <c r="A95" s="41" t="s">
        <v>288</v>
      </c>
      <c r="B95" s="111">
        <f>10.2%</f>
        <v>0.10199999999999999</v>
      </c>
    </row>
    <row r="96" spans="1:10" x14ac:dyDescent="0.35">
      <c r="A96" s="41" t="s">
        <v>289</v>
      </c>
      <c r="B96" s="111">
        <f>10%</f>
        <v>0.1</v>
      </c>
    </row>
    <row r="97" spans="1:2" x14ac:dyDescent="0.35">
      <c r="A97" s="43" t="s">
        <v>290</v>
      </c>
      <c r="B97" s="112">
        <f>10%</f>
        <v>0.1</v>
      </c>
    </row>
    <row r="100" spans="1:2" x14ac:dyDescent="0.35">
      <c r="A100" s="85" t="s">
        <v>292</v>
      </c>
      <c r="B100" s="70"/>
    </row>
    <row r="101" spans="1:2" x14ac:dyDescent="0.35">
      <c r="A101" s="70"/>
      <c r="B101" s="70"/>
    </row>
    <row r="102" spans="1:2" x14ac:dyDescent="0.35">
      <c r="A102" s="109" t="s">
        <v>229</v>
      </c>
      <c r="B102" s="109" t="s">
        <v>293</v>
      </c>
    </row>
    <row r="103" spans="1:2" x14ac:dyDescent="0.35">
      <c r="A103" s="70">
        <v>2021</v>
      </c>
      <c r="B103" s="110">
        <f>13.6%</f>
        <v>0.13600000000000001</v>
      </c>
    </row>
    <row r="104" spans="1:2" x14ac:dyDescent="0.35">
      <c r="A104" s="70">
        <v>2022</v>
      </c>
      <c r="B104" s="110">
        <f>13.9%</f>
        <v>0.13900000000000001</v>
      </c>
    </row>
    <row r="105" spans="1:2" x14ac:dyDescent="0.35">
      <c r="A105" s="70">
        <v>2023</v>
      </c>
      <c r="B105" s="110">
        <f>12.7%</f>
        <v>0.127</v>
      </c>
    </row>
    <row r="106" spans="1:2" x14ac:dyDescent="0.35">
      <c r="A106" s="70">
        <v>2024</v>
      </c>
      <c r="B106" s="110">
        <f>11.1%</f>
        <v>0.111</v>
      </c>
    </row>
    <row r="107" spans="1:2" x14ac:dyDescent="0.35">
      <c r="A107" s="70">
        <v>2025</v>
      </c>
      <c r="B107" s="110">
        <f>10.7%</f>
        <v>0.107</v>
      </c>
    </row>
    <row r="111" spans="1:2" ht="16" x14ac:dyDescent="0.4">
      <c r="A111" s="66" t="s">
        <v>294</v>
      </c>
      <c r="B111" s="67"/>
    </row>
    <row r="113" spans="1:6" x14ac:dyDescent="0.35">
      <c r="A113" s="82" t="s">
        <v>249</v>
      </c>
      <c r="B113" s="77" t="s">
        <v>243</v>
      </c>
    </row>
    <row r="114" spans="1:6" x14ac:dyDescent="0.35">
      <c r="A114" s="41" t="s">
        <v>295</v>
      </c>
      <c r="B114" s="106">
        <f>3.6%</f>
        <v>3.6000000000000004E-2</v>
      </c>
    </row>
    <row r="115" spans="1:6" x14ac:dyDescent="0.35">
      <c r="A115" s="41" t="s">
        <v>296</v>
      </c>
      <c r="B115" s="106">
        <f>3.6%</f>
        <v>3.6000000000000004E-2</v>
      </c>
    </row>
    <row r="116" spans="1:6" x14ac:dyDescent="0.35">
      <c r="A116" s="41" t="s">
        <v>297</v>
      </c>
      <c r="B116" s="106">
        <f>3.5%</f>
        <v>3.5000000000000003E-2</v>
      </c>
    </row>
    <row r="117" spans="1:6" x14ac:dyDescent="0.35">
      <c r="A117" s="41" t="s">
        <v>298</v>
      </c>
      <c r="B117" s="106">
        <f t="shared" ref="B117:B118" si="6">3.5%</f>
        <v>3.5000000000000003E-2</v>
      </c>
    </row>
    <row r="118" spans="1:6" x14ac:dyDescent="0.35">
      <c r="A118" s="43" t="s">
        <v>299</v>
      </c>
      <c r="B118" s="107">
        <f t="shared" si="6"/>
        <v>3.5000000000000003E-2</v>
      </c>
    </row>
    <row r="120" spans="1:6" x14ac:dyDescent="0.35">
      <c r="A120" s="85" t="s">
        <v>300</v>
      </c>
      <c r="B120" s="70"/>
      <c r="C120" s="70"/>
      <c r="D120" s="70"/>
      <c r="E120" s="70"/>
      <c r="F120" s="70"/>
    </row>
    <row r="121" spans="1:6" x14ac:dyDescent="0.35">
      <c r="A121" s="70" t="s">
        <v>0</v>
      </c>
      <c r="B121" s="87" t="s">
        <v>3</v>
      </c>
      <c r="C121" s="87" t="s">
        <v>4</v>
      </c>
      <c r="D121" s="87" t="s">
        <v>5</v>
      </c>
      <c r="E121" s="87" t="s">
        <v>6</v>
      </c>
      <c r="F121" s="87" t="s">
        <v>7</v>
      </c>
    </row>
    <row r="122" spans="1:6" x14ac:dyDescent="0.35">
      <c r="A122" s="70" t="s">
        <v>284</v>
      </c>
      <c r="B122" s="70">
        <f>1137</f>
        <v>1137</v>
      </c>
      <c r="C122" s="70">
        <f>1400</f>
        <v>1400</v>
      </c>
      <c r="D122" s="70">
        <f>1355</f>
        <v>1355</v>
      </c>
      <c r="E122" s="70">
        <f>1358</f>
        <v>1358</v>
      </c>
      <c r="F122" s="70">
        <f>1494</f>
        <v>1494</v>
      </c>
    </row>
    <row r="123" spans="1:6" x14ac:dyDescent="0.35">
      <c r="A123" s="70" t="s">
        <v>16</v>
      </c>
      <c r="B123" s="70">
        <f>B10</f>
        <v>22827</v>
      </c>
      <c r="C123" s="70">
        <f t="shared" ref="C123:F123" si="7">C10</f>
        <v>28083</v>
      </c>
      <c r="D123" s="70">
        <f t="shared" si="7"/>
        <v>32853</v>
      </c>
      <c r="E123" s="70">
        <f t="shared" si="7"/>
        <v>37944</v>
      </c>
      <c r="F123" s="70">
        <f t="shared" si="7"/>
        <v>40933</v>
      </c>
    </row>
    <row r="124" spans="1:6" x14ac:dyDescent="0.35">
      <c r="A124" s="70" t="s">
        <v>301</v>
      </c>
      <c r="B124" s="93">
        <f>B122/B123</f>
        <v>4.9809436193980809E-2</v>
      </c>
      <c r="C124" s="93">
        <f t="shared" ref="C124:F124" si="8">C122/C123</f>
        <v>4.9852223765267246E-2</v>
      </c>
      <c r="D124" s="93">
        <f t="shared" si="8"/>
        <v>4.1244330806927833E-2</v>
      </c>
      <c r="E124" s="93">
        <f t="shared" si="8"/>
        <v>3.5789584651064729E-2</v>
      </c>
      <c r="F124" s="93">
        <f t="shared" si="8"/>
        <v>3.6498668555932867E-2</v>
      </c>
    </row>
    <row r="125" spans="1:6" x14ac:dyDescent="0.35">
      <c r="A125" s="70" t="s">
        <v>302</v>
      </c>
      <c r="B125" s="70"/>
      <c r="C125" s="70"/>
      <c r="D125" s="70"/>
      <c r="E125" s="70"/>
      <c r="F125" s="70"/>
    </row>
    <row r="128" spans="1:6" ht="14" customHeight="1" x14ac:dyDescent="0.35">
      <c r="A128" s="6"/>
    </row>
    <row r="129" spans="1:6" ht="16" x14ac:dyDescent="0.4">
      <c r="A129" s="66" t="s">
        <v>22</v>
      </c>
      <c r="B129" s="67"/>
    </row>
    <row r="130" spans="1:6" ht="18.5" x14ac:dyDescent="0.45">
      <c r="A130" s="1"/>
    </row>
    <row r="131" spans="1:6" x14ac:dyDescent="0.35">
      <c r="A131" s="82" t="s">
        <v>249</v>
      </c>
      <c r="B131" s="91" t="s">
        <v>243</v>
      </c>
    </row>
    <row r="132" spans="1:6" ht="16" x14ac:dyDescent="0.4">
      <c r="A132" s="82" t="s">
        <v>267</v>
      </c>
      <c r="B132" s="92">
        <v>0.43</v>
      </c>
    </row>
    <row r="133" spans="1:6" ht="18.5" x14ac:dyDescent="0.45">
      <c r="A133" s="1"/>
    </row>
    <row r="134" spans="1:6" ht="18.5" x14ac:dyDescent="0.45">
      <c r="A134" s="1"/>
    </row>
    <row r="135" spans="1:6" x14ac:dyDescent="0.35">
      <c r="A135" s="85" t="s">
        <v>268</v>
      </c>
      <c r="B135" s="70"/>
      <c r="C135" s="70"/>
      <c r="D135" s="70"/>
      <c r="E135" s="70"/>
      <c r="F135" s="70"/>
    </row>
    <row r="136" spans="1:6" x14ac:dyDescent="0.35">
      <c r="A136" s="70" t="s">
        <v>0</v>
      </c>
      <c r="B136" s="87" t="s">
        <v>3</v>
      </c>
      <c r="C136" s="87" t="s">
        <v>4</v>
      </c>
      <c r="D136" s="87" t="s">
        <v>5</v>
      </c>
      <c r="E136" s="87" t="s">
        <v>6</v>
      </c>
      <c r="F136" s="87" t="s">
        <v>7</v>
      </c>
    </row>
    <row r="137" spans="1:6" x14ac:dyDescent="0.35">
      <c r="A137" s="70" t="s">
        <v>23</v>
      </c>
      <c r="B137" s="70">
        <v>10287</v>
      </c>
      <c r="C137" s="70">
        <v>12263</v>
      </c>
      <c r="D137" s="70">
        <v>13709</v>
      </c>
      <c r="E137" s="70">
        <v>15800</v>
      </c>
      <c r="F137" s="70">
        <v>17359</v>
      </c>
    </row>
    <row r="138" spans="1:6" x14ac:dyDescent="0.35">
      <c r="A138" s="70" t="s">
        <v>16</v>
      </c>
      <c r="B138" s="70">
        <f>B10</f>
        <v>22827</v>
      </c>
      <c r="C138" s="70">
        <f>C10</f>
        <v>28083</v>
      </c>
      <c r="D138" s="70">
        <f>D10</f>
        <v>32853</v>
      </c>
      <c r="E138" s="70">
        <f>E10</f>
        <v>37944</v>
      </c>
      <c r="F138" s="70">
        <f>F10</f>
        <v>40933</v>
      </c>
    </row>
    <row r="139" spans="1:6" x14ac:dyDescent="0.35">
      <c r="A139" s="70" t="s">
        <v>24</v>
      </c>
      <c r="B139" s="93">
        <f>B137/B138</f>
        <v>0.45065054540675514</v>
      </c>
      <c r="C139" s="93">
        <f t="shared" ref="C139:F139" si="9">C137/C138</f>
        <v>0.43666987145248015</v>
      </c>
      <c r="D139" s="93">
        <f t="shared" si="9"/>
        <v>0.41728304873223143</v>
      </c>
      <c r="E139" s="93">
        <f t="shared" si="9"/>
        <v>0.41640312038794014</v>
      </c>
      <c r="F139" s="93">
        <f t="shared" si="9"/>
        <v>0.42408325800698704</v>
      </c>
    </row>
    <row r="140" spans="1:6" x14ac:dyDescent="0.35">
      <c r="A140" s="84" t="s">
        <v>269</v>
      </c>
    </row>
    <row r="144" spans="1:6" ht="16" x14ac:dyDescent="0.4">
      <c r="A144" s="66" t="s">
        <v>156</v>
      </c>
      <c r="B144" s="67"/>
    </row>
    <row r="145" spans="1:6" ht="18.5" x14ac:dyDescent="0.45">
      <c r="A145" s="1"/>
    </row>
    <row r="146" spans="1:6" ht="16" x14ac:dyDescent="0.4">
      <c r="A146" s="95" t="s">
        <v>249</v>
      </c>
      <c r="B146" s="96" t="s">
        <v>243</v>
      </c>
    </row>
    <row r="147" spans="1:6" x14ac:dyDescent="0.35">
      <c r="A147" s="43" t="s">
        <v>115</v>
      </c>
      <c r="B147" s="89">
        <v>0.6</v>
      </c>
    </row>
    <row r="148" spans="1:6" x14ac:dyDescent="0.35">
      <c r="B148" s="3"/>
    </row>
    <row r="149" spans="1:6" x14ac:dyDescent="0.35">
      <c r="B149" s="3"/>
    </row>
    <row r="150" spans="1:6" x14ac:dyDescent="0.35">
      <c r="A150" s="85" t="s">
        <v>270</v>
      </c>
      <c r="B150" s="93"/>
      <c r="C150" s="70"/>
      <c r="D150" s="70"/>
      <c r="E150" s="70"/>
      <c r="F150" s="70"/>
    </row>
    <row r="151" spans="1:6" x14ac:dyDescent="0.35">
      <c r="A151" s="70" t="s">
        <v>224</v>
      </c>
      <c r="B151" s="70" t="s">
        <v>273</v>
      </c>
      <c r="C151" s="70" t="s">
        <v>272</v>
      </c>
      <c r="D151" s="70" t="s">
        <v>274</v>
      </c>
      <c r="E151" s="93" t="s">
        <v>275</v>
      </c>
      <c r="F151" s="70" t="s">
        <v>271</v>
      </c>
    </row>
    <row r="152" spans="1:6" x14ac:dyDescent="0.35">
      <c r="A152" s="70">
        <v>2021</v>
      </c>
      <c r="B152" s="70">
        <v>552</v>
      </c>
      <c r="C152" s="97">
        <f>258671033/ 1000000</f>
        <v>258.67103300000002</v>
      </c>
      <c r="D152" s="98">
        <f>B152/C152</f>
        <v>2.1339845965667132</v>
      </c>
      <c r="E152" s="98">
        <f>1023.6/ 100</f>
        <v>10.236000000000001</v>
      </c>
      <c r="F152" s="93">
        <f>D152/E152</f>
        <v>0.2084783701217969</v>
      </c>
    </row>
    <row r="153" spans="1:6" x14ac:dyDescent="0.35">
      <c r="A153" s="70">
        <v>2022</v>
      </c>
      <c r="B153" s="70">
        <v>1959</v>
      </c>
      <c r="C153" s="97">
        <f>257778306/ 1000000</f>
        <v>257.77830599999999</v>
      </c>
      <c r="D153" s="98">
        <f t="shared" ref="D153:D156" si="10">B153/C153</f>
        <v>7.5995533929841255</v>
      </c>
      <c r="E153" s="98">
        <f>1298.6/ 100</f>
        <v>12.985999999999999</v>
      </c>
      <c r="F153" s="93">
        <f t="shared" ref="F153:F156" si="11">D153/E153</f>
        <v>0.5852112577378813</v>
      </c>
    </row>
    <row r="154" spans="1:6" x14ac:dyDescent="0.35">
      <c r="A154" s="70">
        <v>2023</v>
      </c>
      <c r="B154" s="70">
        <v>2192</v>
      </c>
      <c r="C154" s="97">
        <f>257274296/ 1000000</f>
        <v>257.27429599999999</v>
      </c>
      <c r="D154" s="98">
        <f t="shared" si="10"/>
        <v>8.5200893912853228</v>
      </c>
      <c r="E154" s="98">
        <f>1210.7/ 100</f>
        <v>12.107000000000001</v>
      </c>
      <c r="F154" s="93">
        <f t="shared" si="11"/>
        <v>0.70373250113862407</v>
      </c>
    </row>
    <row r="155" spans="1:6" x14ac:dyDescent="0.35">
      <c r="A155" s="70">
        <v>2024</v>
      </c>
      <c r="B155" s="70">
        <v>1911</v>
      </c>
      <c r="C155" s="97">
        <f>257016391/ 1000000</f>
        <v>257.016391</v>
      </c>
      <c r="D155" s="98">
        <f t="shared" si="10"/>
        <v>7.435323453748131</v>
      </c>
      <c r="E155" s="98">
        <f>1416.3/ 100</f>
        <v>14.163</v>
      </c>
      <c r="F155" s="93">
        <f t="shared" si="11"/>
        <v>0.52498223919707199</v>
      </c>
    </row>
    <row r="156" spans="1:6" x14ac:dyDescent="0.35">
      <c r="A156" s="70">
        <v>2025</v>
      </c>
      <c r="B156" s="70">
        <v>2178</v>
      </c>
      <c r="C156" s="97">
        <f>257484399/ 1000000</f>
        <v>257.484399</v>
      </c>
      <c r="D156" s="98">
        <f t="shared" si="10"/>
        <v>8.4587649133647123</v>
      </c>
      <c r="E156" s="98">
        <f>1276.2/ 100</f>
        <v>12.762</v>
      </c>
      <c r="F156" s="93">
        <f t="shared" si="11"/>
        <v>0.66280872225080023</v>
      </c>
    </row>
    <row r="157" spans="1:6" x14ac:dyDescent="0.35">
      <c r="A157" s="70"/>
      <c r="B157" s="70"/>
      <c r="C157" s="97"/>
      <c r="D157" s="98"/>
      <c r="E157" s="98"/>
      <c r="F157" s="93"/>
    </row>
    <row r="160" spans="1:6" ht="16" x14ac:dyDescent="0.4">
      <c r="A160" s="99" t="s">
        <v>276</v>
      </c>
      <c r="B160" s="67"/>
    </row>
    <row r="161" spans="1:5" ht="16" x14ac:dyDescent="0.4">
      <c r="A161" s="61"/>
    </row>
    <row r="162" spans="1:5" ht="16" x14ac:dyDescent="0.4">
      <c r="A162" s="103" t="s">
        <v>249</v>
      </c>
      <c r="B162" s="77" t="s">
        <v>46</v>
      </c>
    </row>
    <row r="163" spans="1:5" ht="16" x14ac:dyDescent="0.4">
      <c r="A163" s="52" t="s">
        <v>277</v>
      </c>
      <c r="B163" s="101">
        <f>260</f>
        <v>260</v>
      </c>
    </row>
    <row r="164" spans="1:5" ht="16" x14ac:dyDescent="0.4">
      <c r="A164" s="52" t="s">
        <v>278</v>
      </c>
      <c r="B164" s="101">
        <f>120</f>
        <v>120</v>
      </c>
    </row>
    <row r="165" spans="1:5" ht="16" x14ac:dyDescent="0.4">
      <c r="A165" s="100" t="s">
        <v>279</v>
      </c>
      <c r="B165" s="102">
        <f>92</f>
        <v>92</v>
      </c>
    </row>
    <row r="166" spans="1:5" ht="16" x14ac:dyDescent="0.4">
      <c r="A166" s="61"/>
    </row>
    <row r="167" spans="1:5" ht="16" x14ac:dyDescent="0.4">
      <c r="A167" s="61"/>
    </row>
    <row r="169" spans="1:5" x14ac:dyDescent="0.35">
      <c r="A169" s="85" t="s">
        <v>25</v>
      </c>
      <c r="B169" s="70"/>
      <c r="C169" s="70"/>
      <c r="D169" s="70"/>
      <c r="E169" s="70"/>
    </row>
    <row r="170" spans="1:5" x14ac:dyDescent="0.35">
      <c r="A170" s="70" t="s">
        <v>0</v>
      </c>
      <c r="B170" s="87" t="s">
        <v>5</v>
      </c>
      <c r="C170" s="87" t="s">
        <v>6</v>
      </c>
      <c r="D170" s="87" t="s">
        <v>7</v>
      </c>
      <c r="E170" s="87" t="s">
        <v>26</v>
      </c>
    </row>
    <row r="171" spans="1:5" x14ac:dyDescent="0.35">
      <c r="A171" s="70" t="s">
        <v>27</v>
      </c>
      <c r="B171" s="70">
        <f>2733</f>
        <v>2733</v>
      </c>
      <c r="C171" s="70">
        <f>2969</f>
        <v>2969</v>
      </c>
      <c r="D171" s="70">
        <v>3134</v>
      </c>
      <c r="E171" s="98">
        <f>SUM(B171:D171)/3</f>
        <v>2945.3333333333335</v>
      </c>
    </row>
    <row r="172" spans="1:5" x14ac:dyDescent="0.35">
      <c r="A172" s="70" t="s">
        <v>28</v>
      </c>
      <c r="B172" s="70">
        <v>4004</v>
      </c>
      <c r="C172" s="70">
        <v>4073</v>
      </c>
      <c r="D172" s="70">
        <v>4235</v>
      </c>
      <c r="E172" s="70">
        <f>SUM(B172:D172)/3</f>
        <v>4104</v>
      </c>
    </row>
    <row r="173" spans="1:5" x14ac:dyDescent="0.35">
      <c r="A173" s="70" t="s">
        <v>29</v>
      </c>
      <c r="B173" s="98">
        <f>(B171/B172)*365</f>
        <v>249.13711288711289</v>
      </c>
      <c r="C173" s="98">
        <f t="shared" ref="C173:D173" si="12">(C171/C172)*365</f>
        <v>266.06555364596124</v>
      </c>
      <c r="D173" s="98">
        <f t="shared" si="12"/>
        <v>270.10861865407321</v>
      </c>
      <c r="E173" s="98">
        <f>SUM(B173:D173)/3</f>
        <v>261.77042839571578</v>
      </c>
    </row>
    <row r="174" spans="1:5" x14ac:dyDescent="0.35">
      <c r="A174" s="70"/>
      <c r="B174" s="70"/>
      <c r="C174" s="70"/>
      <c r="D174" s="70"/>
      <c r="E174" s="70"/>
    </row>
    <row r="175" spans="1:5" x14ac:dyDescent="0.35">
      <c r="A175" s="70"/>
      <c r="B175" s="70"/>
      <c r="C175" s="70"/>
      <c r="D175" s="70"/>
      <c r="E175" s="70"/>
    </row>
    <row r="176" spans="1:5" x14ac:dyDescent="0.35">
      <c r="A176" s="85" t="s">
        <v>30</v>
      </c>
      <c r="B176" s="70"/>
      <c r="C176" s="70"/>
      <c r="D176" s="70"/>
      <c r="E176" s="70"/>
    </row>
    <row r="177" spans="1:5" x14ac:dyDescent="0.35">
      <c r="A177" s="70" t="s">
        <v>0</v>
      </c>
      <c r="B177" s="87" t="s">
        <v>5</v>
      </c>
      <c r="C177" s="87" t="s">
        <v>6</v>
      </c>
      <c r="D177" s="87" t="s">
        <v>7</v>
      </c>
      <c r="E177" s="87" t="s">
        <v>26</v>
      </c>
    </row>
    <row r="178" spans="1:5" x14ac:dyDescent="0.35">
      <c r="A178" s="70" t="s">
        <v>31</v>
      </c>
      <c r="B178" s="70">
        <v>7321</v>
      </c>
      <c r="C178" s="70">
        <v>7078</v>
      </c>
      <c r="D178" s="70">
        <v>7894</v>
      </c>
      <c r="E178" s="70">
        <f>SUM(B178:D178)/3</f>
        <v>7431</v>
      </c>
    </row>
    <row r="179" spans="1:5" x14ac:dyDescent="0.35">
      <c r="A179" s="70" t="s">
        <v>32</v>
      </c>
      <c r="B179" s="70">
        <v>19144</v>
      </c>
      <c r="C179" s="70">
        <v>22144</v>
      </c>
      <c r="D179" s="70">
        <v>23574</v>
      </c>
      <c r="E179" s="98">
        <f t="shared" ref="E179:E180" si="13">SUM(B179:D179)/3</f>
        <v>21620.666666666668</v>
      </c>
    </row>
    <row r="180" spans="1:5" x14ac:dyDescent="0.35">
      <c r="A180" s="70" t="s">
        <v>33</v>
      </c>
      <c r="B180" s="98">
        <f>B178/B179*365</f>
        <v>139.58237567906394</v>
      </c>
      <c r="C180" s="98">
        <f t="shared" ref="C180:D180" si="14">C178/C179*365</f>
        <v>116.6668171965318</v>
      </c>
      <c r="D180" s="98">
        <f t="shared" si="14"/>
        <v>122.2240604055315</v>
      </c>
      <c r="E180" s="98">
        <f t="shared" si="13"/>
        <v>126.15775109370907</v>
      </c>
    </row>
    <row r="181" spans="1:5" x14ac:dyDescent="0.35">
      <c r="A181" s="70"/>
      <c r="B181" s="70"/>
      <c r="C181" s="70"/>
      <c r="D181" s="70"/>
      <c r="E181" s="70"/>
    </row>
    <row r="182" spans="1:5" x14ac:dyDescent="0.35">
      <c r="A182" s="70"/>
      <c r="B182" s="70"/>
      <c r="C182" s="70"/>
      <c r="D182" s="70"/>
      <c r="E182" s="70"/>
    </row>
    <row r="183" spans="1:5" x14ac:dyDescent="0.35">
      <c r="A183" s="85" t="s">
        <v>34</v>
      </c>
      <c r="B183" s="70"/>
      <c r="C183" s="70"/>
      <c r="D183" s="70"/>
      <c r="E183" s="70"/>
    </row>
    <row r="184" spans="1:5" x14ac:dyDescent="0.35">
      <c r="A184" s="70" t="s">
        <v>0</v>
      </c>
      <c r="B184" s="87" t="s">
        <v>5</v>
      </c>
      <c r="C184" s="87" t="s">
        <v>6</v>
      </c>
      <c r="D184" s="87" t="s">
        <v>7</v>
      </c>
      <c r="E184" s="87" t="s">
        <v>35</v>
      </c>
    </row>
    <row r="185" spans="1:5" x14ac:dyDescent="0.35">
      <c r="A185" s="70" t="s">
        <v>36</v>
      </c>
      <c r="B185" s="70">
        <f>4877</f>
        <v>4877</v>
      </c>
      <c r="C185" s="70">
        <f>5175</f>
        <v>5175</v>
      </c>
      <c r="D185" s="70">
        <v>6424</v>
      </c>
      <c r="E185" s="98">
        <f>SUM(B185:D185)/3</f>
        <v>5492</v>
      </c>
    </row>
    <row r="186" spans="1:5" x14ac:dyDescent="0.35">
      <c r="A186" s="70" t="s">
        <v>32</v>
      </c>
      <c r="B186" s="70">
        <v>19144</v>
      </c>
      <c r="C186" s="70">
        <v>22144</v>
      </c>
      <c r="D186" s="70">
        <v>23574</v>
      </c>
      <c r="E186" s="98">
        <f t="shared" ref="E186:E187" si="15">SUM(B186:D186)/3</f>
        <v>21620.666666666668</v>
      </c>
    </row>
    <row r="187" spans="1:5" x14ac:dyDescent="0.35">
      <c r="A187" s="70" t="s">
        <v>37</v>
      </c>
      <c r="B187" s="98">
        <f>(B185/B186) * 365</f>
        <v>92.985008357709987</v>
      </c>
      <c r="C187" s="98">
        <f t="shared" ref="C187:D187" si="16">(C185/C186) * 365</f>
        <v>85.299629696531795</v>
      </c>
      <c r="D187" s="98">
        <f t="shared" si="16"/>
        <v>99.463816068550102</v>
      </c>
      <c r="E187" s="98">
        <f t="shared" si="15"/>
        <v>92.582818040930633</v>
      </c>
    </row>
    <row r="191" spans="1:5" ht="16" x14ac:dyDescent="0.4">
      <c r="A191" s="66" t="s">
        <v>38</v>
      </c>
      <c r="B191" s="67"/>
    </row>
    <row r="192" spans="1:5" ht="18.5" x14ac:dyDescent="0.45">
      <c r="A192" s="1"/>
    </row>
    <row r="193" spans="1:6" x14ac:dyDescent="0.35">
      <c r="A193" s="82" t="s">
        <v>249</v>
      </c>
      <c r="B193" s="77" t="s">
        <v>243</v>
      </c>
    </row>
    <row r="194" spans="1:6" ht="16" x14ac:dyDescent="0.4">
      <c r="A194" s="41" t="s">
        <v>303</v>
      </c>
      <c r="B194" s="114">
        <f>0.31 +  $B$249</f>
        <v>0.31</v>
      </c>
    </row>
    <row r="195" spans="1:6" ht="16" x14ac:dyDescent="0.4">
      <c r="A195" s="41" t="s">
        <v>304</v>
      </c>
      <c r="B195" s="114">
        <f>0.305 +  $B$249</f>
        <v>0.30499999999999999</v>
      </c>
    </row>
    <row r="196" spans="1:6" ht="16" x14ac:dyDescent="0.4">
      <c r="A196" s="41" t="s">
        <v>305</v>
      </c>
      <c r="B196" s="114">
        <f>'Operational Sensitivity'!Z2</f>
        <v>0.3</v>
      </c>
    </row>
    <row r="197" spans="1:6" ht="16" x14ac:dyDescent="0.4">
      <c r="A197" s="41" t="s">
        <v>306</v>
      </c>
      <c r="B197" s="114">
        <f>0.295+  $B$249</f>
        <v>0.29499999999999998</v>
      </c>
    </row>
    <row r="198" spans="1:6" ht="16" x14ac:dyDescent="0.4">
      <c r="A198" s="43" t="s">
        <v>307</v>
      </c>
      <c r="B198" s="115">
        <f>0.29 +  $B$249</f>
        <v>0.28999999999999998</v>
      </c>
    </row>
    <row r="199" spans="1:6" ht="16" x14ac:dyDescent="0.4">
      <c r="B199" s="119"/>
    </row>
    <row r="200" spans="1:6" ht="18.5" x14ac:dyDescent="0.45">
      <c r="A200" s="1"/>
    </row>
    <row r="201" spans="1:6" x14ac:dyDescent="0.35">
      <c r="A201" s="85" t="s">
        <v>309</v>
      </c>
      <c r="B201" s="70"/>
      <c r="C201" s="70"/>
      <c r="D201" s="70"/>
      <c r="E201" s="70"/>
      <c r="F201" s="70"/>
    </row>
    <row r="202" spans="1:6" x14ac:dyDescent="0.35">
      <c r="A202" s="70" t="s">
        <v>0</v>
      </c>
      <c r="B202" s="87" t="s">
        <v>3</v>
      </c>
      <c r="C202" s="87" t="s">
        <v>4</v>
      </c>
      <c r="D202" s="87" t="s">
        <v>5</v>
      </c>
      <c r="E202" s="87" t="s">
        <v>6</v>
      </c>
      <c r="F202" s="87" t="s">
        <v>7</v>
      </c>
    </row>
    <row r="203" spans="1:6" x14ac:dyDescent="0.35">
      <c r="A203" s="70" t="s">
        <v>39</v>
      </c>
      <c r="B203" s="70">
        <v>4377</v>
      </c>
      <c r="C203" s="70">
        <v>5049</v>
      </c>
      <c r="D203" s="70">
        <v>6323</v>
      </c>
      <c r="E203" s="70">
        <v>7665</v>
      </c>
      <c r="F203" s="70">
        <v>8464</v>
      </c>
    </row>
    <row r="204" spans="1:6" x14ac:dyDescent="0.35">
      <c r="A204" s="70" t="s">
        <v>40</v>
      </c>
      <c r="B204" s="70">
        <v>1772</v>
      </c>
      <c r="C204" s="70">
        <v>2050</v>
      </c>
      <c r="D204" s="70">
        <v>2281</v>
      </c>
      <c r="E204" s="70">
        <v>2667</v>
      </c>
      <c r="F204" s="70">
        <v>2897</v>
      </c>
    </row>
    <row r="205" spans="1:6" x14ac:dyDescent="0.35">
      <c r="A205" s="117" t="s">
        <v>41</v>
      </c>
      <c r="B205" s="117">
        <f>SUM(B203,B204)</f>
        <v>6149</v>
      </c>
      <c r="C205" s="117">
        <f t="shared" ref="C205:F205" si="17">SUM(C203,C204)</f>
        <v>7099</v>
      </c>
      <c r="D205" s="117">
        <f t="shared" si="17"/>
        <v>8604</v>
      </c>
      <c r="E205" s="117">
        <f t="shared" si="17"/>
        <v>10332</v>
      </c>
      <c r="F205" s="117">
        <f t="shared" si="17"/>
        <v>11361</v>
      </c>
    </row>
    <row r="206" spans="1:6" x14ac:dyDescent="0.35">
      <c r="A206" s="70" t="s">
        <v>44</v>
      </c>
      <c r="B206" s="116">
        <v>-410</v>
      </c>
      <c r="C206" s="116">
        <v>-434</v>
      </c>
      <c r="D206" s="116">
        <v>-460</v>
      </c>
      <c r="E206" s="116">
        <v>-661</v>
      </c>
      <c r="F206" s="116">
        <v>-698</v>
      </c>
    </row>
    <row r="207" spans="1:6" x14ac:dyDescent="0.35">
      <c r="A207" s="117" t="s">
        <v>310</v>
      </c>
      <c r="B207" s="118">
        <f>B205+B206</f>
        <v>5739</v>
      </c>
      <c r="C207" s="118">
        <f t="shared" ref="C207:F207" si="18">C205+C206</f>
        <v>6665</v>
      </c>
      <c r="D207" s="118">
        <f t="shared" si="18"/>
        <v>8144</v>
      </c>
      <c r="E207" s="118">
        <f t="shared" si="18"/>
        <v>9671</v>
      </c>
      <c r="F207" s="118">
        <f t="shared" si="18"/>
        <v>10663</v>
      </c>
    </row>
    <row r="208" spans="1:6" x14ac:dyDescent="0.35">
      <c r="A208" s="85"/>
      <c r="B208" s="70"/>
      <c r="C208" s="70"/>
      <c r="D208" s="70"/>
      <c r="E208" s="70"/>
      <c r="F208" s="70"/>
    </row>
    <row r="209" spans="1:6" x14ac:dyDescent="0.35">
      <c r="A209" s="85"/>
      <c r="B209" s="70"/>
      <c r="C209" s="70"/>
      <c r="D209" s="70"/>
      <c r="E209" s="70"/>
      <c r="F209" s="70"/>
    </row>
    <row r="210" spans="1:6" x14ac:dyDescent="0.35">
      <c r="A210" s="85" t="s">
        <v>308</v>
      </c>
      <c r="B210" s="87" t="s">
        <v>3</v>
      </c>
      <c r="C210" s="87" t="s">
        <v>4</v>
      </c>
      <c r="D210" s="87" t="s">
        <v>5</v>
      </c>
      <c r="E210" s="87" t="s">
        <v>6</v>
      </c>
      <c r="F210" s="87" t="s">
        <v>7</v>
      </c>
    </row>
    <row r="211" spans="1:6" x14ac:dyDescent="0.35">
      <c r="A211" s="70" t="s">
        <v>42</v>
      </c>
      <c r="B211" s="70">
        <v>22827</v>
      </c>
      <c r="C211" s="70">
        <v>28083</v>
      </c>
      <c r="D211" s="70">
        <v>32853</v>
      </c>
      <c r="E211" s="70">
        <v>37944</v>
      </c>
      <c r="F211" s="70">
        <v>40933</v>
      </c>
    </row>
    <row r="212" spans="1:6" x14ac:dyDescent="0.35">
      <c r="A212" s="70" t="s">
        <v>43</v>
      </c>
      <c r="B212" s="93">
        <f>B207/B211</f>
        <v>0.25141280063083193</v>
      </c>
      <c r="C212" s="93">
        <f>C207/C211</f>
        <v>0.23733219385393298</v>
      </c>
      <c r="D212" s="93">
        <f>D207/D211</f>
        <v>0.24789212552887102</v>
      </c>
      <c r="E212" s="93">
        <f>E207/E211</f>
        <v>0.25487560615644106</v>
      </c>
      <c r="F212" s="93">
        <f>F207/F211</f>
        <v>0.2604988639972638</v>
      </c>
    </row>
    <row r="216" spans="1:6" ht="16" x14ac:dyDescent="0.4">
      <c r="A216" s="66" t="s">
        <v>58</v>
      </c>
      <c r="B216" s="67"/>
    </row>
    <row r="217" spans="1:6" ht="18.5" x14ac:dyDescent="0.45">
      <c r="A217" s="1"/>
    </row>
    <row r="218" spans="1:6" x14ac:dyDescent="0.35">
      <c r="A218" s="82" t="s">
        <v>249</v>
      </c>
      <c r="B218" s="91" t="s">
        <v>243</v>
      </c>
    </row>
    <row r="219" spans="1:6" ht="16" x14ac:dyDescent="0.4">
      <c r="A219" s="43" t="s">
        <v>311</v>
      </c>
      <c r="B219" s="113">
        <f>(B232*B229)+(B231*B230)</f>
        <v>0.138515</v>
      </c>
    </row>
    <row r="220" spans="1:6" ht="18.5" x14ac:dyDescent="0.45">
      <c r="A220" s="1"/>
    </row>
    <row r="221" spans="1:6" ht="18.5" x14ac:dyDescent="0.45">
      <c r="A221" s="1"/>
    </row>
    <row r="222" spans="1:6" x14ac:dyDescent="0.35">
      <c r="A222" s="121" t="s">
        <v>45</v>
      </c>
      <c r="B222" s="121" t="s">
        <v>46</v>
      </c>
      <c r="C222" s="122" t="s">
        <v>47</v>
      </c>
    </row>
    <row r="223" spans="1:6" x14ac:dyDescent="0.35">
      <c r="A223" s="123" t="s">
        <v>346</v>
      </c>
      <c r="B223" s="124">
        <v>7.9399999999999998E-2</v>
      </c>
      <c r="C223" s="144" t="s">
        <v>49</v>
      </c>
    </row>
    <row r="224" spans="1:6" x14ac:dyDescent="0.35">
      <c r="A224" s="123" t="s">
        <v>48</v>
      </c>
      <c r="B224" s="124">
        <f>8.35%</f>
        <v>8.3499999999999991E-2</v>
      </c>
      <c r="C224" s="145" t="s">
        <v>59</v>
      </c>
    </row>
    <row r="225" spans="1:3" x14ac:dyDescent="0.35">
      <c r="A225" s="123" t="s">
        <v>50</v>
      </c>
      <c r="B225" s="123">
        <v>0.8</v>
      </c>
      <c r="C225" s="146" t="s">
        <v>60</v>
      </c>
    </row>
    <row r="226" spans="1:3" x14ac:dyDescent="0.35">
      <c r="A226" s="123" t="s">
        <v>51</v>
      </c>
      <c r="B226" s="124">
        <v>9.5000000000000001E-2</v>
      </c>
      <c r="C226" s="146" t="s">
        <v>61</v>
      </c>
    </row>
    <row r="227" spans="1:3" x14ac:dyDescent="0.35">
      <c r="A227" s="123" t="s">
        <v>52</v>
      </c>
      <c r="B227" s="125">
        <v>0.27</v>
      </c>
      <c r="C227" s="145" t="s">
        <v>53</v>
      </c>
    </row>
    <row r="228" spans="1:3" x14ac:dyDescent="0.35">
      <c r="A228" s="123"/>
      <c r="B228" s="123"/>
      <c r="C228" s="126"/>
    </row>
    <row r="229" spans="1:3" x14ac:dyDescent="0.35">
      <c r="A229" s="127" t="s">
        <v>57</v>
      </c>
      <c r="B229" s="124">
        <f>B223+(B225*B224)</f>
        <v>0.1462</v>
      </c>
      <c r="C229" s="126"/>
    </row>
    <row r="230" spans="1:3" x14ac:dyDescent="0.35">
      <c r="A230" s="127" t="s">
        <v>54</v>
      </c>
      <c r="B230" s="124">
        <f>B226*(1-B227)</f>
        <v>6.9349999999999995E-2</v>
      </c>
      <c r="C230" s="126"/>
    </row>
    <row r="231" spans="1:3" x14ac:dyDescent="0.35">
      <c r="A231" s="123" t="s">
        <v>55</v>
      </c>
      <c r="B231" s="125">
        <f>10%</f>
        <v>0.1</v>
      </c>
      <c r="C231" s="126"/>
    </row>
    <row r="232" spans="1:3" x14ac:dyDescent="0.35">
      <c r="A232" s="128" t="s">
        <v>56</v>
      </c>
      <c r="B232" s="129">
        <f>90%</f>
        <v>0.9</v>
      </c>
      <c r="C232" s="130"/>
    </row>
    <row r="233" spans="1:3" x14ac:dyDescent="0.35">
      <c r="A233" s="70"/>
      <c r="B233" s="70"/>
      <c r="C233" s="70"/>
    </row>
    <row r="234" spans="1:3" x14ac:dyDescent="0.35">
      <c r="A234" s="70"/>
      <c r="B234" s="70"/>
      <c r="C234" s="70"/>
    </row>
    <row r="235" spans="1:3" x14ac:dyDescent="0.35">
      <c r="A235" s="122" t="s">
        <v>312</v>
      </c>
      <c r="B235" s="70"/>
      <c r="C235" s="70"/>
    </row>
    <row r="236" spans="1:3" x14ac:dyDescent="0.35">
      <c r="A236" s="126" t="s">
        <v>313</v>
      </c>
      <c r="B236" s="70"/>
      <c r="C236" s="70"/>
    </row>
    <row r="237" spans="1:3" x14ac:dyDescent="0.35">
      <c r="A237" s="130" t="s">
        <v>314</v>
      </c>
      <c r="B237" s="70"/>
      <c r="C237" s="70"/>
    </row>
    <row r="241" spans="1:4" ht="18.5" x14ac:dyDescent="0.45">
      <c r="A241" s="104" t="s">
        <v>202</v>
      </c>
      <c r="B241" s="120"/>
      <c r="C241" s="67"/>
      <c r="D241" s="67"/>
    </row>
    <row r="242" spans="1:4" x14ac:dyDescent="0.35">
      <c r="B242" s="7" t="s">
        <v>206</v>
      </c>
      <c r="C242" t="s">
        <v>207</v>
      </c>
      <c r="D242" t="s">
        <v>208</v>
      </c>
    </row>
    <row r="243" spans="1:4" x14ac:dyDescent="0.35">
      <c r="A243" t="s">
        <v>203</v>
      </c>
      <c r="B243" s="39">
        <v>0.03</v>
      </c>
      <c r="C243" s="7">
        <v>0</v>
      </c>
      <c r="D243" s="39">
        <f>-5%</f>
        <v>-0.05</v>
      </c>
    </row>
    <row r="244" spans="1:4" x14ac:dyDescent="0.35">
      <c r="A244" t="s">
        <v>204</v>
      </c>
      <c r="B244" s="39">
        <v>-1.4999999999999999E-2</v>
      </c>
      <c r="C244" s="7">
        <v>0</v>
      </c>
      <c r="D244" s="39">
        <f>2%</f>
        <v>0.02</v>
      </c>
    </row>
    <row r="245" spans="1:4" x14ac:dyDescent="0.35">
      <c r="A245" t="s">
        <v>205</v>
      </c>
      <c r="B245" s="39">
        <v>-1.4999999999999999E-2</v>
      </c>
      <c r="C245" s="7">
        <v>0</v>
      </c>
      <c r="D245" s="39">
        <f>3.5%</f>
        <v>3.5000000000000003E-2</v>
      </c>
    </row>
    <row r="246" spans="1:4" x14ac:dyDescent="0.35">
      <c r="A246" t="s">
        <v>223</v>
      </c>
      <c r="B246" s="3">
        <f>1%</f>
        <v>0.01</v>
      </c>
      <c r="C246" s="7">
        <v>0</v>
      </c>
      <c r="D246" s="3">
        <f>-1%</f>
        <v>-0.01</v>
      </c>
    </row>
    <row r="248" spans="1:4" outlineLevel="1" x14ac:dyDescent="0.35">
      <c r="A248" t="s">
        <v>209</v>
      </c>
    </row>
    <row r="249" spans="1:4" outlineLevel="1" x14ac:dyDescent="0.35">
      <c r="A249" s="38">
        <f>Dashboard!C6</f>
        <v>2</v>
      </c>
      <c r="B249">
        <f>CHOOSE($A$249,B243,C243,D243)</f>
        <v>0</v>
      </c>
    </row>
    <row r="250" spans="1:4" outlineLevel="1" x14ac:dyDescent="0.35">
      <c r="B250">
        <f>CHOOSE($A$249,B244, C244,  D244)</f>
        <v>0</v>
      </c>
    </row>
    <row r="251" spans="1:4" outlineLevel="1" x14ac:dyDescent="0.35">
      <c r="B251">
        <f>CHOOSE($A$249, B245, C245, D245)</f>
        <v>0</v>
      </c>
    </row>
    <row r="252" spans="1:4" outlineLevel="1" x14ac:dyDescent="0.35">
      <c r="B252">
        <f>CHOOSE($A$249, B246, C246, D246)</f>
        <v>0</v>
      </c>
    </row>
  </sheetData>
  <pageMargins left="0.7" right="0.7" top="0.75" bottom="0.75" header="0.3" footer="0.3"/>
  <ignoredErrors>
    <ignoredError sqref="E77:E81" formulaRange="1"/>
    <ignoredError sqref="E152:E156 G86 I86" formula="1"/>
  </ignoredErrors>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3A2EC-E7C8-404B-941D-794D5F466440}">
  <dimension ref="A1:L47"/>
  <sheetViews>
    <sheetView workbookViewId="0">
      <pane ySplit="2" topLeftCell="A3" activePane="bottomLeft" state="frozen"/>
      <selection pane="bottomLeft" activeCell="G29" sqref="G29"/>
    </sheetView>
  </sheetViews>
  <sheetFormatPr defaultRowHeight="14.5" x14ac:dyDescent="0.35"/>
  <cols>
    <col min="1" max="1" width="37.453125" bestFit="1" customWidth="1"/>
    <col min="2" max="3" width="15.453125" bestFit="1" customWidth="1"/>
    <col min="4" max="4" width="12.81640625" customWidth="1"/>
    <col min="5" max="5" width="12.54296875" customWidth="1"/>
    <col min="6" max="6" width="13.08984375" customWidth="1"/>
    <col min="7" max="7" width="14" bestFit="1" customWidth="1"/>
  </cols>
  <sheetData>
    <row r="1" spans="1:11" x14ac:dyDescent="0.35">
      <c r="B1" s="10"/>
      <c r="C1" s="14" t="s">
        <v>71</v>
      </c>
      <c r="D1" s="10"/>
      <c r="E1" s="10"/>
      <c r="F1" s="10"/>
      <c r="G1" s="16"/>
      <c r="H1" s="16" t="s">
        <v>89</v>
      </c>
      <c r="I1" s="15"/>
      <c r="J1" s="15"/>
      <c r="K1" s="15"/>
    </row>
    <row r="2" spans="1:11" ht="18.5" x14ac:dyDescent="0.45">
      <c r="A2" s="1" t="s">
        <v>70</v>
      </c>
      <c r="B2" s="14" t="s">
        <v>72</v>
      </c>
      <c r="C2" s="14" t="s">
        <v>73</v>
      </c>
      <c r="D2" s="14" t="s">
        <v>74</v>
      </c>
      <c r="E2" s="14" t="s">
        <v>75</v>
      </c>
      <c r="F2" s="14" t="s">
        <v>76</v>
      </c>
      <c r="G2" s="16" t="s">
        <v>77</v>
      </c>
      <c r="H2" s="16" t="s">
        <v>78</v>
      </c>
      <c r="I2" s="16" t="s">
        <v>79</v>
      </c>
      <c r="J2" s="16" t="s">
        <v>170</v>
      </c>
      <c r="K2" s="16" t="s">
        <v>171</v>
      </c>
    </row>
    <row r="3" spans="1:11" x14ac:dyDescent="0.35">
      <c r="A3" s="2" t="s">
        <v>62</v>
      </c>
    </row>
    <row r="4" spans="1:11" x14ac:dyDescent="0.35">
      <c r="A4" t="s">
        <v>63</v>
      </c>
    </row>
    <row r="5" spans="1:11" x14ac:dyDescent="0.35">
      <c r="A5" t="s">
        <v>16</v>
      </c>
      <c r="B5" s="133">
        <f>B6+B9</f>
        <v>22827</v>
      </c>
      <c r="C5" s="133">
        <f t="shared" ref="C5:F5" si="0">C6+C9</f>
        <v>28083</v>
      </c>
      <c r="D5" s="133">
        <f t="shared" si="0"/>
        <v>32853</v>
      </c>
      <c r="E5" s="133">
        <f t="shared" si="0"/>
        <v>37944</v>
      </c>
      <c r="F5" s="133">
        <f t="shared" si="0"/>
        <v>40933</v>
      </c>
    </row>
    <row r="6" spans="1:11" x14ac:dyDescent="0.35">
      <c r="A6" s="22" t="s">
        <v>280</v>
      </c>
      <c r="B6" s="133">
        <f>SUM(B7:B8)</f>
        <v>21690</v>
      </c>
      <c r="C6" s="133">
        <f t="shared" ref="C6:F6" si="1">SUM(C7:C8)</f>
        <v>26683</v>
      </c>
      <c r="D6" s="133">
        <f t="shared" si="1"/>
        <v>31498</v>
      </c>
      <c r="E6" s="133">
        <f t="shared" si="1"/>
        <v>36586</v>
      </c>
      <c r="F6" s="133">
        <f t="shared" si="1"/>
        <v>39439</v>
      </c>
    </row>
    <row r="7" spans="1:11" x14ac:dyDescent="0.35">
      <c r="A7" s="108" t="s">
        <v>281</v>
      </c>
      <c r="B7" s="133">
        <f>18740</f>
        <v>18740</v>
      </c>
      <c r="C7" s="133">
        <f>22982</f>
        <v>22982</v>
      </c>
      <c r="D7" s="133">
        <f>27494</f>
        <v>27494</v>
      </c>
      <c r="E7" s="133">
        <f>32513</f>
        <v>32513</v>
      </c>
      <c r="F7" s="133">
        <f>35204</f>
        <v>35204</v>
      </c>
      <c r="G7" s="94"/>
    </row>
    <row r="8" spans="1:11" x14ac:dyDescent="0.35">
      <c r="A8" s="108" t="s">
        <v>28</v>
      </c>
      <c r="B8" s="12">
        <f>2950</f>
        <v>2950</v>
      </c>
      <c r="C8" s="12">
        <f>3701</f>
        <v>3701</v>
      </c>
      <c r="D8" s="12">
        <f>4004</f>
        <v>4004</v>
      </c>
      <c r="E8" s="133">
        <f>4073</f>
        <v>4073</v>
      </c>
      <c r="F8" s="133">
        <f>4235</f>
        <v>4235</v>
      </c>
    </row>
    <row r="9" spans="1:11" x14ac:dyDescent="0.35">
      <c r="A9" s="22" t="s">
        <v>282</v>
      </c>
      <c r="B9" s="12">
        <f>1137</f>
        <v>1137</v>
      </c>
      <c r="C9" s="12">
        <f>1400</f>
        <v>1400</v>
      </c>
      <c r="D9" s="12">
        <f>1355</f>
        <v>1355</v>
      </c>
      <c r="E9" s="12">
        <f>1358</f>
        <v>1358</v>
      </c>
      <c r="F9" s="12">
        <f>1494</f>
        <v>1494</v>
      </c>
    </row>
    <row r="10" spans="1:11" x14ac:dyDescent="0.35">
      <c r="A10" t="s">
        <v>32</v>
      </c>
      <c r="B10" s="13">
        <v>-12540</v>
      </c>
      <c r="C10" s="13">
        <v>-15820</v>
      </c>
      <c r="D10" s="13">
        <v>-19144</v>
      </c>
      <c r="E10" s="13">
        <v>-22144</v>
      </c>
      <c r="F10" s="13">
        <v>-23574</v>
      </c>
    </row>
    <row r="11" spans="1:11" x14ac:dyDescent="0.35">
      <c r="A11" s="2" t="s">
        <v>64</v>
      </c>
      <c r="B11" s="105">
        <f>B5+B10</f>
        <v>10287</v>
      </c>
      <c r="C11" s="105">
        <f t="shared" ref="C11:F11" si="2">C5+C10</f>
        <v>12263</v>
      </c>
      <c r="D11" s="105">
        <f t="shared" si="2"/>
        <v>13709</v>
      </c>
      <c r="E11" s="105">
        <f t="shared" si="2"/>
        <v>15800</v>
      </c>
      <c r="F11" s="105">
        <f t="shared" si="2"/>
        <v>17359</v>
      </c>
    </row>
    <row r="12" spans="1:11" x14ac:dyDescent="0.35">
      <c r="A12" t="s">
        <v>65</v>
      </c>
      <c r="B12" s="131">
        <v>0</v>
      </c>
      <c r="C12" s="131">
        <v>0</v>
      </c>
      <c r="D12" s="131">
        <v>0</v>
      </c>
      <c r="E12" s="131">
        <v>0</v>
      </c>
      <c r="F12" s="131">
        <v>0</v>
      </c>
    </row>
    <row r="13" spans="1:11" x14ac:dyDescent="0.35">
      <c r="A13" t="s">
        <v>39</v>
      </c>
      <c r="B13" s="13">
        <v>-4377</v>
      </c>
      <c r="C13" s="13">
        <v>-5049</v>
      </c>
      <c r="D13" s="13">
        <v>-6323</v>
      </c>
      <c r="E13" s="13">
        <v>-7665</v>
      </c>
      <c r="F13" s="13">
        <v>-8464</v>
      </c>
    </row>
    <row r="14" spans="1:11" x14ac:dyDescent="0.35">
      <c r="A14" t="s">
        <v>68</v>
      </c>
      <c r="B14" s="13">
        <v>-1772</v>
      </c>
      <c r="C14" s="13">
        <v>-2050</v>
      </c>
      <c r="D14" s="13">
        <v>-2281</v>
      </c>
      <c r="E14" s="13">
        <v>-2667</v>
      </c>
      <c r="F14" s="13">
        <v>-2897</v>
      </c>
    </row>
    <row r="15" spans="1:11" x14ac:dyDescent="0.35">
      <c r="A15" t="s">
        <v>67</v>
      </c>
      <c r="B15" s="9">
        <f>SUM(B13:B14)</f>
        <v>-6149</v>
      </c>
      <c r="C15" s="9">
        <f t="shared" ref="C15:F15" si="3">SUM(C13:C14)</f>
        <v>-7099</v>
      </c>
      <c r="D15" s="9">
        <f t="shared" si="3"/>
        <v>-8604</v>
      </c>
      <c r="E15" s="9">
        <f t="shared" si="3"/>
        <v>-10332</v>
      </c>
      <c r="F15" s="9">
        <f t="shared" si="3"/>
        <v>-11361</v>
      </c>
    </row>
    <row r="16" spans="1:11" x14ac:dyDescent="0.35">
      <c r="A16" s="2" t="s">
        <v>66</v>
      </c>
      <c r="B16" s="105">
        <f>B11+B12+B15</f>
        <v>4138</v>
      </c>
      <c r="C16" s="105">
        <f t="shared" ref="C16:F16" si="4">C11+C12+C15</f>
        <v>5164</v>
      </c>
      <c r="D16" s="105">
        <f t="shared" si="4"/>
        <v>5105</v>
      </c>
      <c r="E16" s="105">
        <f t="shared" si="4"/>
        <v>5468</v>
      </c>
      <c r="F16" s="105">
        <f t="shared" si="4"/>
        <v>5998</v>
      </c>
      <c r="H16" s="8"/>
    </row>
    <row r="17" spans="1:12" x14ac:dyDescent="0.35">
      <c r="A17" t="s">
        <v>116</v>
      </c>
      <c r="B17" s="132">
        <f>B16*0.27</f>
        <v>1117.26</v>
      </c>
      <c r="C17" s="132">
        <f t="shared" ref="C17:F17" si="5">C16*0.27</f>
        <v>1394.2800000000002</v>
      </c>
      <c r="D17" s="132">
        <f t="shared" si="5"/>
        <v>1378.3500000000001</v>
      </c>
      <c r="E17" s="132">
        <f t="shared" si="5"/>
        <v>1476.3600000000001</v>
      </c>
      <c r="F17" s="132">
        <f t="shared" si="5"/>
        <v>1619.46</v>
      </c>
      <c r="H17" s="3"/>
      <c r="I17" s="3"/>
      <c r="J17" s="3"/>
      <c r="K17" s="3"/>
      <c r="L17" s="3"/>
    </row>
    <row r="18" spans="1:12" x14ac:dyDescent="0.35">
      <c r="A18" s="2" t="s">
        <v>117</v>
      </c>
      <c r="B18" s="105">
        <f>B16-B17</f>
        <v>3020.74</v>
      </c>
      <c r="C18" s="105">
        <f t="shared" ref="C18:F18" si="6">C16-C17</f>
        <v>3769.72</v>
      </c>
      <c r="D18" s="105">
        <f t="shared" si="6"/>
        <v>3726.6499999999996</v>
      </c>
      <c r="E18" s="105">
        <f t="shared" si="6"/>
        <v>3991.64</v>
      </c>
      <c r="F18" s="105">
        <f t="shared" si="6"/>
        <v>4378.54</v>
      </c>
    </row>
    <row r="19" spans="1:12" x14ac:dyDescent="0.35">
      <c r="B19" s="8"/>
      <c r="C19" s="8"/>
      <c r="D19" s="8"/>
      <c r="E19" s="8"/>
      <c r="F19" s="8"/>
    </row>
    <row r="20" spans="1:12" x14ac:dyDescent="0.35">
      <c r="B20" s="8"/>
      <c r="C20" s="8"/>
      <c r="D20" s="8"/>
      <c r="E20" s="8"/>
      <c r="F20" s="8"/>
    </row>
    <row r="21" spans="1:12" x14ac:dyDescent="0.35">
      <c r="A21" s="2" t="s">
        <v>69</v>
      </c>
    </row>
    <row r="22" spans="1:12" x14ac:dyDescent="0.35">
      <c r="A22" s="2" t="s">
        <v>80</v>
      </c>
      <c r="B22" s="2">
        <f>SUM(B23:B24)</f>
        <v>3877</v>
      </c>
      <c r="C22" s="2">
        <f t="shared" ref="C22:F22" si="7">SUM(C23:C24)</f>
        <v>4557</v>
      </c>
      <c r="D22" s="2">
        <f t="shared" si="7"/>
        <v>8843</v>
      </c>
      <c r="E22" s="2">
        <f t="shared" si="7"/>
        <v>9173</v>
      </c>
      <c r="F22" s="2">
        <f t="shared" si="7"/>
        <v>9239</v>
      </c>
    </row>
    <row r="23" spans="1:12" x14ac:dyDescent="0.35">
      <c r="A23" t="s">
        <v>81</v>
      </c>
      <c r="B23" s="12">
        <v>2236</v>
      </c>
      <c r="C23" s="12">
        <v>2518</v>
      </c>
      <c r="D23" s="12">
        <v>3598</v>
      </c>
      <c r="E23" s="12">
        <v>4072</v>
      </c>
      <c r="F23" s="12">
        <v>4254</v>
      </c>
    </row>
    <row r="24" spans="1:12" x14ac:dyDescent="0.35">
      <c r="A24" t="s">
        <v>82</v>
      </c>
      <c r="B24" s="12">
        <v>1641</v>
      </c>
      <c r="C24" s="12">
        <v>2039</v>
      </c>
      <c r="D24" s="12">
        <v>5245</v>
      </c>
      <c r="E24" s="12">
        <v>5101</v>
      </c>
      <c r="F24" s="12">
        <v>4985</v>
      </c>
    </row>
    <row r="25" spans="1:12" x14ac:dyDescent="0.35">
      <c r="A25" s="2" t="s">
        <v>83</v>
      </c>
      <c r="B25" s="2">
        <f>SUM(B26:B28)</f>
        <v>10402</v>
      </c>
      <c r="C25" s="2">
        <f t="shared" ref="C25:F25" si="8">SUM(C26:C28)</f>
        <v>11119</v>
      </c>
      <c r="D25" s="2">
        <f t="shared" si="8"/>
        <v>11496</v>
      </c>
      <c r="E25" s="2">
        <f t="shared" si="8"/>
        <v>12845</v>
      </c>
      <c r="F25" s="2">
        <f t="shared" si="8"/>
        <v>15175</v>
      </c>
    </row>
    <row r="26" spans="1:12" x14ac:dyDescent="0.35">
      <c r="A26" t="s">
        <v>164</v>
      </c>
      <c r="B26" s="12">
        <f>4949</f>
        <v>4949</v>
      </c>
      <c r="C26" s="12">
        <f>4612</f>
        <v>4612</v>
      </c>
      <c r="D26" s="12">
        <f>1442</f>
        <v>1442</v>
      </c>
      <c r="E26" s="12">
        <f>2798</f>
        <v>2798</v>
      </c>
      <c r="F26" s="12">
        <f>4147</f>
        <v>4147</v>
      </c>
    </row>
    <row r="27" spans="1:12" x14ac:dyDescent="0.35">
      <c r="A27" t="s">
        <v>84</v>
      </c>
      <c r="B27" s="12">
        <v>3298</v>
      </c>
      <c r="C27" s="12">
        <v>3956</v>
      </c>
      <c r="D27" s="12">
        <v>7321</v>
      </c>
      <c r="E27" s="12">
        <v>7078</v>
      </c>
      <c r="F27" s="12">
        <v>7894</v>
      </c>
    </row>
    <row r="28" spans="1:12" x14ac:dyDescent="0.35">
      <c r="A28" t="s">
        <v>98</v>
      </c>
      <c r="B28" s="12">
        <v>2155</v>
      </c>
      <c r="C28" s="12">
        <v>2551</v>
      </c>
      <c r="D28" s="12">
        <v>2733</v>
      </c>
      <c r="E28" s="12">
        <v>2969</v>
      </c>
      <c r="F28" s="12">
        <v>3134</v>
      </c>
    </row>
    <row r="29" spans="1:12" x14ac:dyDescent="0.35">
      <c r="A29" s="2" t="s">
        <v>85</v>
      </c>
      <c r="B29" s="11">
        <f>SUM(B30)</f>
        <v>-2542</v>
      </c>
      <c r="C29" s="11">
        <f t="shared" ref="C29:F29" si="9">SUM(C30)</f>
        <v>-2895</v>
      </c>
      <c r="D29" s="11">
        <f t="shared" si="9"/>
        <v>-4877</v>
      </c>
      <c r="E29" s="11">
        <f t="shared" si="9"/>
        <v>-5175</v>
      </c>
      <c r="F29" s="11">
        <f t="shared" si="9"/>
        <v>-6424</v>
      </c>
    </row>
    <row r="30" spans="1:12" x14ac:dyDescent="0.35">
      <c r="A30" t="s">
        <v>99</v>
      </c>
      <c r="B30" s="13">
        <v>-2542</v>
      </c>
      <c r="C30" s="13">
        <v>-2895</v>
      </c>
      <c r="D30" s="13">
        <v>-4877</v>
      </c>
      <c r="E30" s="13">
        <v>-5175</v>
      </c>
      <c r="F30" s="13">
        <v>-6424</v>
      </c>
    </row>
    <row r="32" spans="1:12" x14ac:dyDescent="0.35">
      <c r="A32" s="2" t="s">
        <v>86</v>
      </c>
    </row>
    <row r="33" spans="1:6" x14ac:dyDescent="0.35">
      <c r="A33" t="s">
        <v>87</v>
      </c>
      <c r="B33" s="12">
        <v>5000</v>
      </c>
      <c r="C33" s="12">
        <v>6315</v>
      </c>
      <c r="D33" s="12">
        <v>7737</v>
      </c>
      <c r="E33" s="12">
        <v>7237</v>
      </c>
      <c r="F33" s="12">
        <v>7187</v>
      </c>
    </row>
    <row r="34" spans="1:6" x14ac:dyDescent="0.35">
      <c r="A34" t="s">
        <v>88</v>
      </c>
      <c r="B34" s="12">
        <v>4776</v>
      </c>
      <c r="C34" s="12">
        <v>5951</v>
      </c>
      <c r="D34" s="12">
        <v>7028</v>
      </c>
      <c r="E34" s="12">
        <v>6512</v>
      </c>
      <c r="F34" s="12">
        <v>6355</v>
      </c>
    </row>
    <row r="35" spans="1:6" x14ac:dyDescent="0.35">
      <c r="A35" s="2"/>
      <c r="B35" s="2"/>
      <c r="C35" s="2"/>
      <c r="D35" s="2"/>
      <c r="E35" s="2"/>
      <c r="F35" s="2"/>
    </row>
    <row r="37" spans="1:6" x14ac:dyDescent="0.35">
      <c r="A37" s="2" t="s">
        <v>90</v>
      </c>
    </row>
    <row r="38" spans="1:6" x14ac:dyDescent="0.35">
      <c r="A38" s="2" t="s">
        <v>91</v>
      </c>
      <c r="B38" s="2">
        <f>SUM(B39)</f>
        <v>1698</v>
      </c>
      <c r="C38" s="2">
        <f t="shared" ref="C38:F38" si="10">SUM(C39)</f>
        <v>1932</v>
      </c>
      <c r="D38" s="2">
        <f t="shared" si="10"/>
        <v>2323</v>
      </c>
      <c r="E38" s="2">
        <f t="shared" si="10"/>
        <v>2919</v>
      </c>
      <c r="F38" s="2">
        <f t="shared" si="10"/>
        <v>3113</v>
      </c>
    </row>
    <row r="39" spans="1:6" x14ac:dyDescent="0.35">
      <c r="A39" t="s">
        <v>92</v>
      </c>
      <c r="B39" s="12">
        <v>1698</v>
      </c>
      <c r="C39" s="12">
        <v>1932</v>
      </c>
      <c r="D39" s="12">
        <v>2323</v>
      </c>
      <c r="E39" s="12">
        <v>2919</v>
      </c>
      <c r="F39" s="12">
        <v>3113</v>
      </c>
    </row>
    <row r="40" spans="1:6" x14ac:dyDescent="0.35">
      <c r="A40" s="2" t="s">
        <v>93</v>
      </c>
      <c r="B40" s="11">
        <f>SUM(B41:B42)</f>
        <v>-1952</v>
      </c>
      <c r="C40" s="11">
        <f t="shared" ref="C40:F40" si="11">SUM(C41:C42)</f>
        <v>-670</v>
      </c>
      <c r="D40" s="11">
        <f t="shared" si="11"/>
        <v>-4302</v>
      </c>
      <c r="E40" s="11">
        <f t="shared" si="11"/>
        <v>-981</v>
      </c>
      <c r="F40" s="11">
        <f t="shared" si="11"/>
        <v>-829</v>
      </c>
    </row>
    <row r="41" spans="1:6" x14ac:dyDescent="0.35">
      <c r="A41" t="s">
        <v>94</v>
      </c>
      <c r="B41" s="13">
        <v>-441</v>
      </c>
      <c r="C41" s="13">
        <v>-670</v>
      </c>
      <c r="D41" s="13">
        <v>-837</v>
      </c>
      <c r="E41" s="13">
        <v>-981</v>
      </c>
      <c r="F41" s="13">
        <v>-829</v>
      </c>
    </row>
    <row r="42" spans="1:6" x14ac:dyDescent="0.35">
      <c r="A42" t="s">
        <v>95</v>
      </c>
      <c r="B42" s="13">
        <v>-1511</v>
      </c>
      <c r="C42" s="12"/>
      <c r="D42" s="13">
        <v>-3465</v>
      </c>
      <c r="E42" s="12"/>
      <c r="F42" s="12"/>
    </row>
    <row r="43" spans="1:6" x14ac:dyDescent="0.35">
      <c r="A43" t="s">
        <v>96</v>
      </c>
      <c r="B43" s="11">
        <f>SUM(B44:B45)</f>
        <v>-1726</v>
      </c>
      <c r="C43" s="11">
        <f t="shared" ref="C43:F43" si="12">SUM(C44:C45)</f>
        <v>-3257</v>
      </c>
      <c r="D43" s="11">
        <f t="shared" si="12"/>
        <v>-3778</v>
      </c>
      <c r="E43" s="11">
        <f t="shared" si="12"/>
        <v>-4000</v>
      </c>
      <c r="F43" s="11">
        <f t="shared" si="12"/>
        <v>-4456</v>
      </c>
    </row>
    <row r="44" spans="1:6" x14ac:dyDescent="0.35">
      <c r="A44" t="s">
        <v>97</v>
      </c>
      <c r="B44" s="13">
        <v>-552</v>
      </c>
      <c r="C44" s="13">
        <v>-1959</v>
      </c>
      <c r="D44" s="13">
        <v>-2192</v>
      </c>
      <c r="E44" s="13">
        <v>-1911</v>
      </c>
      <c r="F44" s="13">
        <v>-2178</v>
      </c>
    </row>
    <row r="45" spans="1:6" x14ac:dyDescent="0.35">
      <c r="A45" t="s">
        <v>100</v>
      </c>
      <c r="B45" s="13">
        <v>-1174</v>
      </c>
      <c r="C45" s="13">
        <v>-1298</v>
      </c>
      <c r="D45" s="13">
        <v>-1586</v>
      </c>
      <c r="E45" s="13">
        <v>-2089</v>
      </c>
      <c r="F45" s="13">
        <v>-2278</v>
      </c>
    </row>
    <row r="47" spans="1:6" x14ac:dyDescent="0.35">
      <c r="A47" s="2"/>
    </row>
  </sheetData>
  <pageMargins left="0.7" right="0.7" top="0.75" bottom="0.75" header="0.3" footer="0.3"/>
  <ignoredErrors>
    <ignoredError sqref="B15:F15" formulaRange="1"/>
  </ignoredErrors>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2D653-08EE-4C22-8B97-66181BF88D2E}">
  <dimension ref="A1:K20"/>
  <sheetViews>
    <sheetView zoomScaleNormal="100" workbookViewId="0">
      <selection activeCell="M8" sqref="M8"/>
    </sheetView>
  </sheetViews>
  <sheetFormatPr defaultRowHeight="14.5" x14ac:dyDescent="0.35"/>
  <cols>
    <col min="1" max="1" width="27.36328125" customWidth="1"/>
    <col min="2" max="2" width="11.81640625" customWidth="1"/>
    <col min="3" max="3" width="15.453125" customWidth="1"/>
    <col min="4" max="4" width="11.26953125" customWidth="1"/>
    <col min="5" max="5" width="10.453125" customWidth="1"/>
    <col min="6" max="6" width="11" customWidth="1"/>
    <col min="7" max="7" width="11.1796875" customWidth="1"/>
    <col min="8" max="8" width="13.81640625" bestFit="1" customWidth="1"/>
    <col min="9" max="9" width="12.08984375" customWidth="1"/>
  </cols>
  <sheetData>
    <row r="1" spans="1:11" x14ac:dyDescent="0.35">
      <c r="B1" s="10"/>
      <c r="C1" s="14" t="s">
        <v>71</v>
      </c>
      <c r="D1" s="10"/>
      <c r="E1" s="10"/>
      <c r="F1" s="10"/>
      <c r="G1" s="17"/>
      <c r="H1" s="18" t="s">
        <v>89</v>
      </c>
      <c r="I1" s="17"/>
      <c r="J1" s="17"/>
      <c r="K1" s="17"/>
    </row>
    <row r="2" spans="1:11" ht="18.5" x14ac:dyDescent="0.45">
      <c r="A2" s="1" t="s">
        <v>101</v>
      </c>
      <c r="B2" s="14" t="s">
        <v>72</v>
      </c>
      <c r="C2" s="14" t="s">
        <v>73</v>
      </c>
      <c r="D2" s="14" t="s">
        <v>74</v>
      </c>
      <c r="E2" s="14" t="s">
        <v>75</v>
      </c>
      <c r="F2" s="14" t="s">
        <v>76</v>
      </c>
      <c r="G2" s="18" t="s">
        <v>77</v>
      </c>
      <c r="H2" s="18" t="s">
        <v>78</v>
      </c>
      <c r="I2" s="18" t="s">
        <v>79</v>
      </c>
      <c r="J2" s="18" t="s">
        <v>170</v>
      </c>
      <c r="K2" s="18" t="s">
        <v>171</v>
      </c>
    </row>
    <row r="3" spans="1:11" x14ac:dyDescent="0.35">
      <c r="A3" s="20" t="s">
        <v>102</v>
      </c>
      <c r="B3" s="19"/>
      <c r="C3" s="19"/>
      <c r="D3" s="19"/>
      <c r="E3" s="19"/>
      <c r="F3" s="19"/>
    </row>
    <row r="4" spans="1:11" x14ac:dyDescent="0.35">
      <c r="A4" t="s">
        <v>103</v>
      </c>
      <c r="B4" s="3"/>
      <c r="C4" s="3">
        <f>('Historical Financials'!C5/'Historical Financials'!B5)-1</f>
        <v>0.23025364699697737</v>
      </c>
      <c r="D4" s="3">
        <f>('Historical Financials'!D5/'Historical Financials'!C5)-1</f>
        <v>0.16985364811451764</v>
      </c>
      <c r="E4" s="3">
        <f>('Historical Financials'!E5/'Historical Financials'!D5)-1</f>
        <v>0.15496301707606608</v>
      </c>
      <c r="F4" s="3">
        <f>('Historical Financials'!F5/'Historical Financials'!E5)-1</f>
        <v>7.8773982711364043E-2</v>
      </c>
    </row>
    <row r="5" spans="1:11" x14ac:dyDescent="0.35">
      <c r="A5" t="s">
        <v>104</v>
      </c>
      <c r="C5" s="3">
        <f>('Historical Financials'!C11/'Historical Financials'!B11)-1</f>
        <v>0.19208710022358311</v>
      </c>
      <c r="D5" s="3">
        <f>('Historical Financials'!D11/'Historical Financials'!C11)-1</f>
        <v>0.11791568131778529</v>
      </c>
      <c r="E5" s="3">
        <f>('Historical Financials'!E11/'Historical Financials'!D11)-1</f>
        <v>0.15252753665475227</v>
      </c>
      <c r="F5" s="3">
        <f>('Historical Financials'!F11/'Historical Financials'!E11)-1</f>
        <v>9.8670886075949316E-2</v>
      </c>
    </row>
    <row r="7" spans="1:11" x14ac:dyDescent="0.35">
      <c r="A7" s="20" t="s">
        <v>105</v>
      </c>
      <c r="B7" s="19"/>
      <c r="C7" s="19"/>
      <c r="D7" s="19"/>
      <c r="E7" s="19"/>
      <c r="F7" s="19"/>
    </row>
    <row r="8" spans="1:11" x14ac:dyDescent="0.35">
      <c r="A8" t="s">
        <v>106</v>
      </c>
      <c r="B8" s="3">
        <f>'Historical Financials'!B11/'Historical Financials'!B5</f>
        <v>0.45065054540675514</v>
      </c>
      <c r="C8" s="3">
        <f>'Historical Financials'!C11/'Historical Financials'!C5</f>
        <v>0.43666987145248015</v>
      </c>
      <c r="D8" s="3">
        <f>'Historical Financials'!D11/'Historical Financials'!D5</f>
        <v>0.41728304873223143</v>
      </c>
      <c r="E8" s="3">
        <f>'Historical Financials'!E11/'Historical Financials'!E5</f>
        <v>0.41640312038794014</v>
      </c>
      <c r="F8" s="3">
        <f>'Historical Financials'!F11/'Historical Financials'!F5</f>
        <v>0.42408325800698704</v>
      </c>
    </row>
    <row r="9" spans="1:11" x14ac:dyDescent="0.35">
      <c r="A9" t="s">
        <v>43</v>
      </c>
      <c r="B9" s="3">
        <f>-('Historical Financials'!B15+'Historical Financials'!B39)/'Historical Financials'!B5</f>
        <v>0.19498839094055284</v>
      </c>
      <c r="C9" s="3">
        <f>-('Historical Financials'!C15+'Historical Financials'!C39)/'Historical Financials'!C5</f>
        <v>0.18399031442509703</v>
      </c>
      <c r="D9" s="3">
        <f>-('Historical Financials'!D15+'Historical Financials'!D39)/'Historical Financials'!D5</f>
        <v>0.19118497549691049</v>
      </c>
      <c r="E9" s="3">
        <f>-('Historical Financials'!E15+'Historical Financials'!E39)/'Historical Financials'!E5</f>
        <v>0.19536685641998736</v>
      </c>
      <c r="F9" s="3">
        <f>-('Historical Financials'!F15+'Historical Financials'!F39)/'Historical Financials'!F5</f>
        <v>0.20150001221508318</v>
      </c>
    </row>
    <row r="10" spans="1:11" x14ac:dyDescent="0.35">
      <c r="A10" t="s">
        <v>107</v>
      </c>
      <c r="B10" s="3">
        <f>'Historical Financials'!B16/'Historical Financials'!B5</f>
        <v>0.18127655846147106</v>
      </c>
      <c r="C10" s="3">
        <f>'Historical Financials'!C16/'Historical Financials'!C5</f>
        <v>0.18388348823131431</v>
      </c>
      <c r="D10" s="3">
        <f>'Historical Financials'!D16/'Historical Financials'!D5</f>
        <v>0.15538915776337017</v>
      </c>
      <c r="E10" s="3">
        <f>'Historical Financials'!E16/'Historical Financials'!E5</f>
        <v>0.14410710520767447</v>
      </c>
      <c r="F10" s="3">
        <f>'Historical Financials'!F16/'Historical Financials'!F5</f>
        <v>0.14653213788385899</v>
      </c>
    </row>
    <row r="12" spans="1:11" x14ac:dyDescent="0.35">
      <c r="A12" s="20" t="s">
        <v>108</v>
      </c>
      <c r="B12" s="19"/>
      <c r="C12" s="19"/>
      <c r="D12" s="19"/>
      <c r="E12" s="19"/>
      <c r="F12" s="19"/>
    </row>
    <row r="13" spans="1:11" x14ac:dyDescent="0.35">
      <c r="A13" t="s">
        <v>109</v>
      </c>
      <c r="B13" s="5">
        <f>('Historical Financials'!B27/ABS('Historical Financials'!B10)*365)</f>
        <v>95.99441786283893</v>
      </c>
      <c r="C13" s="5">
        <f>('Historical Financials'!C27/ABS('Historical Financials'!C10)*365)</f>
        <v>91.273072060682665</v>
      </c>
      <c r="D13" s="5">
        <f>('Historical Financials'!D27/ABS('Historical Financials'!D10)*365)</f>
        <v>139.58237567906394</v>
      </c>
      <c r="E13" s="5">
        <f>('Historical Financials'!E27/ABS('Historical Financials'!E10)*365)</f>
        <v>116.6668171965318</v>
      </c>
      <c r="F13" s="5">
        <f>('Historical Financials'!F27/ABS('Historical Financials'!F10)*365)</f>
        <v>122.2240604055315</v>
      </c>
    </row>
    <row r="14" spans="1:11" x14ac:dyDescent="0.35">
      <c r="A14" t="s">
        <v>110</v>
      </c>
      <c r="B14" s="5">
        <f>('Historical Financials'!B28/'Historical Financials'!B8) * 365</f>
        <v>266.63559322033899</v>
      </c>
      <c r="C14" s="5">
        <f>('Historical Financials'!C28/'Historical Financials'!C8) * 365</f>
        <v>251.58470683599029</v>
      </c>
      <c r="D14" s="5">
        <f>('Historical Financials'!D28/'Historical Financials'!D8) * 365</f>
        <v>249.13711288711289</v>
      </c>
      <c r="E14" s="5">
        <f>('Historical Financials'!E28/'Historical Financials'!E8) * 365</f>
        <v>266.06555364596124</v>
      </c>
      <c r="F14" s="5">
        <f>('Historical Financials'!F28/'Historical Financials'!F8) * 365</f>
        <v>270.10861865407321</v>
      </c>
    </row>
    <row r="15" spans="1:11" x14ac:dyDescent="0.35">
      <c r="A15" t="s">
        <v>111</v>
      </c>
      <c r="B15" s="5">
        <f>ABS('Historical Financials'!B30)/ABS('Historical Financials'!B10) * 365</f>
        <v>73.9896331738437</v>
      </c>
      <c r="C15" s="5">
        <f>ABS('Historical Financials'!C30)/ABS('Historical Financials'!C10) * 365</f>
        <v>66.793615676359039</v>
      </c>
      <c r="D15" s="5">
        <f>ABS('Historical Financials'!D30)/ABS('Historical Financials'!D10) * 365</f>
        <v>92.985008357709987</v>
      </c>
      <c r="E15" s="5">
        <f>ABS('Historical Financials'!E30)/ABS('Historical Financials'!E10) * 365</f>
        <v>85.299629696531795</v>
      </c>
      <c r="F15" s="5">
        <f>ABS('Historical Financials'!F30)/ABS('Historical Financials'!F10) * 365</f>
        <v>99.463816068550102</v>
      </c>
    </row>
    <row r="16" spans="1:11" x14ac:dyDescent="0.35">
      <c r="A16" t="s">
        <v>112</v>
      </c>
      <c r="B16" s="5">
        <f>B13+B14-B15</f>
        <v>288.64037790933423</v>
      </c>
      <c r="C16" s="5">
        <f t="shared" ref="C16:F16" si="0">C13+C14-C15</f>
        <v>276.0641632203139</v>
      </c>
      <c r="D16" s="5">
        <f t="shared" si="0"/>
        <v>295.73448020846683</v>
      </c>
      <c r="E16" s="5">
        <f t="shared" si="0"/>
        <v>297.43274114596124</v>
      </c>
      <c r="F16" s="5">
        <f t="shared" si="0"/>
        <v>292.86886299105464</v>
      </c>
    </row>
    <row r="18" spans="1:6" x14ac:dyDescent="0.35">
      <c r="A18" s="20" t="s">
        <v>113</v>
      </c>
      <c r="B18" s="19"/>
      <c r="C18" s="19"/>
      <c r="D18" s="19"/>
      <c r="E18" s="19"/>
      <c r="F18" s="19"/>
    </row>
    <row r="19" spans="1:6" x14ac:dyDescent="0.35">
      <c r="A19" t="s">
        <v>114</v>
      </c>
      <c r="B19" s="3">
        <f>ABS('Historical Financials'!B41/'Historical Financials'!B5)</f>
        <v>1.9319227230910764E-2</v>
      </c>
      <c r="C19" s="3">
        <f>ABS('Historical Financials'!C41/'Historical Financials'!C5)</f>
        <v>2.3857849944806466E-2</v>
      </c>
      <c r="D19" s="3">
        <f>ABS('Historical Financials'!D41/'Historical Financials'!D5)</f>
        <v>2.5477125376677928E-2</v>
      </c>
      <c r="E19" s="3">
        <f>ABS('Historical Financials'!E41/'Historical Financials'!E5)</f>
        <v>2.5853889943074002E-2</v>
      </c>
      <c r="F19" s="3">
        <f>ABS('Historical Financials'!F41/'Historical Financials'!F5)</f>
        <v>2.0252607920259937E-2</v>
      </c>
    </row>
    <row r="20" spans="1:6" x14ac:dyDescent="0.35">
      <c r="A20" t="s">
        <v>115</v>
      </c>
      <c r="B20" s="3">
        <f>ABS('Historical Financials'!B44/'Historical Financials'!B18)</f>
        <v>0.18273668041605701</v>
      </c>
      <c r="C20" s="3">
        <f>ABS('Historical Financials'!C44/'Historical Financials'!C18)</f>
        <v>0.51966724319047575</v>
      </c>
      <c r="D20" s="3">
        <f>ABS('Historical Financials'!D44/'Historical Financials'!D18)</f>
        <v>0.58819583271839326</v>
      </c>
      <c r="E20" s="3">
        <f>ABS('Historical Financials'!E44/'Historical Financials'!E18)</f>
        <v>0.47875058873044662</v>
      </c>
      <c r="F20" s="3">
        <f>ABS('Historical Financials'!F44/'Historical Financials'!F18)</f>
        <v>0.49742608266682503</v>
      </c>
    </row>
  </sheetData>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E81C7-B046-4E47-AD9E-E040042C4F2F}">
  <dimension ref="A1:M86"/>
  <sheetViews>
    <sheetView zoomScaleNormal="100" workbookViewId="0">
      <selection activeCell="B43" sqref="B43"/>
    </sheetView>
  </sheetViews>
  <sheetFormatPr defaultRowHeight="14.5" x14ac:dyDescent="0.35"/>
  <cols>
    <col min="1" max="1" width="34" bestFit="1" customWidth="1"/>
    <col min="2" max="2" width="14" bestFit="1" customWidth="1"/>
    <col min="3" max="3" width="11.7265625" customWidth="1"/>
    <col min="4" max="4" width="13.453125" customWidth="1"/>
  </cols>
  <sheetData>
    <row r="1" spans="1:13" x14ac:dyDescent="0.35">
      <c r="B1" s="16" t="s">
        <v>118</v>
      </c>
      <c r="C1" s="15"/>
      <c r="D1" s="15"/>
      <c r="E1" s="15"/>
      <c r="F1" s="15"/>
    </row>
    <row r="2" spans="1:13" ht="18.5" x14ac:dyDescent="0.45">
      <c r="A2" s="21" t="s">
        <v>124</v>
      </c>
      <c r="B2" s="16" t="s">
        <v>77</v>
      </c>
      <c r="C2" s="16" t="s">
        <v>78</v>
      </c>
      <c r="D2" s="16" t="s">
        <v>79</v>
      </c>
      <c r="E2" s="16" t="s">
        <v>170</v>
      </c>
      <c r="F2" s="16" t="s">
        <v>171</v>
      </c>
    </row>
    <row r="3" spans="1:13" x14ac:dyDescent="0.35">
      <c r="A3" s="2" t="s">
        <v>126</v>
      </c>
    </row>
    <row r="4" spans="1:13" x14ac:dyDescent="0.35">
      <c r="A4" s="2" t="s">
        <v>125</v>
      </c>
    </row>
    <row r="5" spans="1:13" x14ac:dyDescent="0.35">
      <c r="A5" s="2"/>
    </row>
    <row r="6" spans="1:13" x14ac:dyDescent="0.35">
      <c r="A6" s="20" t="s">
        <v>62</v>
      </c>
      <c r="B6" s="19"/>
      <c r="C6" s="19"/>
      <c r="D6" s="19"/>
      <c r="E6" s="19"/>
      <c r="F6" s="19"/>
    </row>
    <row r="7" spans="1:13" x14ac:dyDescent="0.35">
      <c r="A7" t="s">
        <v>16</v>
      </c>
      <c r="B7" s="8">
        <f>'Historical Financials'!F5*(1+Assumptions!B60)</f>
        <v>44002.974999999999</v>
      </c>
      <c r="C7" s="8">
        <f>B7*(1+Assumptions!B61)</f>
        <v>47083.183250000002</v>
      </c>
      <c r="D7" s="8">
        <f>C7*(1+Assumptions!B62)</f>
        <v>49908.174245000002</v>
      </c>
      <c r="E7" s="8">
        <f>D7*(1+Assumptions!B63)</f>
        <v>52403.582957250008</v>
      </c>
      <c r="F7" s="8">
        <f>E7*(1+Assumptions!B64)</f>
        <v>54499.726275540008</v>
      </c>
    </row>
    <row r="8" spans="1:13" x14ac:dyDescent="0.35">
      <c r="A8" s="22" t="s">
        <v>291</v>
      </c>
      <c r="B8" s="8">
        <f>B7-B11</f>
        <v>42418.867899999997</v>
      </c>
      <c r="C8" s="8">
        <f t="shared" ref="C8:F8" si="0">C7-C11</f>
        <v>45388.188653000005</v>
      </c>
      <c r="D8" s="8">
        <f t="shared" si="0"/>
        <v>48161.388146425001</v>
      </c>
      <c r="E8" s="8">
        <f t="shared" si="0"/>
        <v>50569.457553746259</v>
      </c>
      <c r="F8" s="8">
        <f t="shared" si="0"/>
        <v>52592.235855896106</v>
      </c>
    </row>
    <row r="9" spans="1:13" x14ac:dyDescent="0.35">
      <c r="A9" s="108" t="s">
        <v>283</v>
      </c>
      <c r="B9" s="8">
        <f>B8-B10</f>
        <v>37964.886770500001</v>
      </c>
      <c r="C9" s="8">
        <f t="shared" ref="C9:F9" si="1">C8-C10</f>
        <v>40713.205221741002</v>
      </c>
      <c r="D9" s="8">
        <f t="shared" si="1"/>
        <v>43248.926555489648</v>
      </c>
      <c r="E9" s="8">
        <f t="shared" si="1"/>
        <v>45512.511798371634</v>
      </c>
      <c r="F9" s="8">
        <f t="shared" si="1"/>
        <v>47333.012270306499</v>
      </c>
    </row>
    <row r="10" spans="1:13" x14ac:dyDescent="0.35">
      <c r="A10" s="108" t="s">
        <v>28</v>
      </c>
      <c r="B10" s="8">
        <f>B8*Assumptions!B93</f>
        <v>4453.9811295</v>
      </c>
      <c r="C10" s="8">
        <f>C8*Assumptions!B94</f>
        <v>4674.983431259001</v>
      </c>
      <c r="D10" s="8">
        <f>D8*Assumptions!B95</f>
        <v>4912.4615909353497</v>
      </c>
      <c r="E10" s="8">
        <f>E8*Assumptions!B96</f>
        <v>5056.9457553746261</v>
      </c>
      <c r="F10" s="8">
        <f>F8*Assumptions!B97</f>
        <v>5259.2235855896106</v>
      </c>
    </row>
    <row r="11" spans="1:13" x14ac:dyDescent="0.35">
      <c r="A11" s="22" t="s">
        <v>284</v>
      </c>
      <c r="B11" s="8">
        <f>B7*Assumptions!B114</f>
        <v>1584.1071000000002</v>
      </c>
      <c r="C11" s="8">
        <f>C7*Assumptions!B115</f>
        <v>1694.9945970000003</v>
      </c>
      <c r="D11" s="8">
        <f>D7*Assumptions!B116</f>
        <v>1746.7860985750003</v>
      </c>
      <c r="E11" s="8">
        <f>E7*Assumptions!B117</f>
        <v>1834.1254035037505</v>
      </c>
      <c r="F11" s="8">
        <f>F7*Assumptions!B118</f>
        <v>1907.4904196439004</v>
      </c>
    </row>
    <row r="12" spans="1:13" x14ac:dyDescent="0.35">
      <c r="A12" t="s">
        <v>32</v>
      </c>
      <c r="B12" s="8">
        <f>B7*(1-Assumptions!B132)</f>
        <v>25081.695750000003</v>
      </c>
      <c r="C12" s="8">
        <f>C7*(1-Assumptions!B132)</f>
        <v>26837.414452500005</v>
      </c>
      <c r="D12" s="8">
        <f>D7*(1-Assumptions!B132)</f>
        <v>28447.659319650003</v>
      </c>
      <c r="E12" s="8">
        <f>E7*(1-Assumptions!B132)</f>
        <v>29870.042285632509</v>
      </c>
      <c r="F12" s="8">
        <f>F7*(1-Assumptions!B132)</f>
        <v>31064.843977057808</v>
      </c>
    </row>
    <row r="13" spans="1:13" x14ac:dyDescent="0.35">
      <c r="A13" s="2" t="s">
        <v>64</v>
      </c>
      <c r="B13" s="8">
        <f>B7-B12</f>
        <v>18921.279249999996</v>
      </c>
      <c r="C13" s="8">
        <f t="shared" ref="C13:F13" si="2">C7-C12</f>
        <v>20245.768797499997</v>
      </c>
      <c r="D13" s="8">
        <f t="shared" si="2"/>
        <v>21460.514925349999</v>
      </c>
      <c r="E13" s="8">
        <f t="shared" si="2"/>
        <v>22533.540671617498</v>
      </c>
      <c r="F13" s="8">
        <f t="shared" si="2"/>
        <v>23434.8822984822</v>
      </c>
    </row>
    <row r="14" spans="1:13" x14ac:dyDescent="0.35">
      <c r="A14" t="s">
        <v>119</v>
      </c>
      <c r="B14" s="8">
        <f>'Historical Financials'!B12</f>
        <v>0</v>
      </c>
      <c r="C14" s="8">
        <f>'Historical Financials'!C12</f>
        <v>0</v>
      </c>
      <c r="D14" s="8">
        <f>'Historical Financials'!D12</f>
        <v>0</v>
      </c>
      <c r="E14" s="8">
        <v>0</v>
      </c>
      <c r="F14" s="8">
        <v>0</v>
      </c>
    </row>
    <row r="15" spans="1:13" x14ac:dyDescent="0.35">
      <c r="A15" t="s">
        <v>120</v>
      </c>
      <c r="B15" s="8">
        <f>B7*Assumptions!B194</f>
        <v>13640.92225</v>
      </c>
      <c r="C15" s="8">
        <f>C7*Assumptions!B195</f>
        <v>14360.370891250001</v>
      </c>
      <c r="D15" s="8">
        <f>D7*Assumptions!B196</f>
        <v>14972.452273499999</v>
      </c>
      <c r="E15" s="8">
        <f>E7*Assumptions!B197</f>
        <v>15459.056972388751</v>
      </c>
      <c r="F15" s="8">
        <f>F7*Assumptions!B198</f>
        <v>15804.920619906601</v>
      </c>
    </row>
    <row r="16" spans="1:13" x14ac:dyDescent="0.35">
      <c r="A16" s="2" t="s">
        <v>121</v>
      </c>
      <c r="B16" s="8">
        <f>B13-B15</f>
        <v>5280.3569999999963</v>
      </c>
      <c r="C16" s="8">
        <f>C13-C15</f>
        <v>5885.3979062499966</v>
      </c>
      <c r="D16" s="8">
        <f>D13-D15</f>
        <v>6488.0626518499994</v>
      </c>
      <c r="E16" s="8">
        <f>E13-E15</f>
        <v>7074.4836992287474</v>
      </c>
      <c r="F16" s="8">
        <f>F13-F15</f>
        <v>7629.9616785755989</v>
      </c>
      <c r="I16" s="7"/>
      <c r="J16" s="7"/>
      <c r="K16" s="7"/>
      <c r="L16" s="7"/>
      <c r="M16" s="7"/>
    </row>
    <row r="17" spans="1:13" x14ac:dyDescent="0.35">
      <c r="A17" t="s">
        <v>107</v>
      </c>
      <c r="B17" s="7">
        <f>B16/B7</f>
        <v>0.11999999999999993</v>
      </c>
      <c r="C17" s="7">
        <f t="shared" ref="C17:F17" si="3">C16/C7</f>
        <v>0.12499999999999992</v>
      </c>
      <c r="D17" s="7">
        <f t="shared" si="3"/>
        <v>0.12999999999999998</v>
      </c>
      <c r="E17" s="7">
        <f t="shared" si="3"/>
        <v>0.13499999999999993</v>
      </c>
      <c r="F17" s="7">
        <f t="shared" si="3"/>
        <v>0.13999999999999996</v>
      </c>
      <c r="I17" s="7"/>
      <c r="J17" s="7"/>
      <c r="K17" s="7"/>
      <c r="L17" s="7"/>
      <c r="M17" s="7"/>
    </row>
    <row r="18" spans="1:13" x14ac:dyDescent="0.35">
      <c r="A18" t="s">
        <v>123</v>
      </c>
      <c r="B18" s="8">
        <f>B16*Assumptions!B227</f>
        <v>1425.6963899999992</v>
      </c>
      <c r="C18" s="8">
        <f>C16*Assumptions!B227</f>
        <v>1589.0574346874992</v>
      </c>
      <c r="D18" s="8">
        <f>D16*Assumptions!B227</f>
        <v>1751.7769159995</v>
      </c>
      <c r="E18" s="8">
        <f>E16*Assumptions!B227</f>
        <v>1910.110598791762</v>
      </c>
      <c r="F18" s="8">
        <f>F16*Assumptions!B227</f>
        <v>2060.089653215412</v>
      </c>
    </row>
    <row r="19" spans="1:13" x14ac:dyDescent="0.35">
      <c r="A19" s="2" t="s">
        <v>122</v>
      </c>
      <c r="B19" s="8">
        <f>B16-B18</f>
        <v>3854.6606099999972</v>
      </c>
      <c r="C19" s="8">
        <f t="shared" ref="C19:F19" si="4">C16-C18</f>
        <v>4296.3404715624974</v>
      </c>
      <c r="D19" s="8">
        <f t="shared" si="4"/>
        <v>4736.2857358504989</v>
      </c>
      <c r="E19" s="8">
        <f t="shared" si="4"/>
        <v>5164.3731004369856</v>
      </c>
      <c r="F19" s="8">
        <f t="shared" si="4"/>
        <v>5569.8720253601869</v>
      </c>
    </row>
    <row r="22" spans="1:13" x14ac:dyDescent="0.35">
      <c r="A22" s="20" t="s">
        <v>69</v>
      </c>
      <c r="B22" s="19"/>
      <c r="C22" s="19"/>
      <c r="D22" s="19"/>
      <c r="E22" s="19"/>
      <c r="F22" s="19"/>
    </row>
    <row r="23" spans="1:13" x14ac:dyDescent="0.35">
      <c r="A23" s="2" t="s">
        <v>80</v>
      </c>
    </row>
    <row r="24" spans="1:13" x14ac:dyDescent="0.35">
      <c r="A24" t="s">
        <v>137</v>
      </c>
      <c r="B24" s="8">
        <f>B54</f>
        <v>4318.4846250000001</v>
      </c>
      <c r="C24" s="8">
        <f t="shared" ref="C24:D24" si="5">C54</f>
        <v>4420.1445262500001</v>
      </c>
      <c r="D24" s="8">
        <f t="shared" si="5"/>
        <v>4549.9469062500002</v>
      </c>
      <c r="E24" s="8">
        <f>E54</f>
        <v>4699.00808373375</v>
      </c>
      <c r="F24" s="8">
        <f>F54</f>
        <v>4858.6428461441255</v>
      </c>
    </row>
    <row r="25" spans="1:13" x14ac:dyDescent="0.35">
      <c r="A25" t="s">
        <v>82</v>
      </c>
      <c r="B25" s="8">
        <f>B59</f>
        <v>4865.3599999999997</v>
      </c>
      <c r="C25" s="8">
        <f t="shared" ref="C25:F25" si="6">C59</f>
        <v>4748.5913599999994</v>
      </c>
      <c r="D25" s="8">
        <f t="shared" si="6"/>
        <v>4634.6251673599991</v>
      </c>
      <c r="E25" s="8">
        <f t="shared" si="6"/>
        <v>4523.3941633433587</v>
      </c>
      <c r="F25" s="8">
        <f t="shared" si="6"/>
        <v>4414.8327034231179</v>
      </c>
    </row>
    <row r="26" spans="1:13" x14ac:dyDescent="0.35">
      <c r="A26" t="s">
        <v>127</v>
      </c>
      <c r="B26" s="8">
        <f>SUM(B24:B25)</f>
        <v>9183.8446249999997</v>
      </c>
      <c r="C26" s="8">
        <f t="shared" ref="C26:F26" si="7">SUM(C24:C25)</f>
        <v>9168.7358862500005</v>
      </c>
      <c r="D26" s="8">
        <f t="shared" si="7"/>
        <v>9184.5720736099993</v>
      </c>
      <c r="E26" s="8">
        <f t="shared" si="7"/>
        <v>9222.4022470771088</v>
      </c>
      <c r="F26" s="8">
        <f t="shared" si="7"/>
        <v>9273.4755495672434</v>
      </c>
    </row>
    <row r="28" spans="1:13" x14ac:dyDescent="0.35">
      <c r="A28" s="2" t="s">
        <v>83</v>
      </c>
    </row>
    <row r="29" spans="1:13" x14ac:dyDescent="0.35">
      <c r="A29" t="s">
        <v>163</v>
      </c>
      <c r="B29" s="8">
        <f>B86</f>
        <v>2973.2454418219172</v>
      </c>
      <c r="C29" s="8">
        <f t="shared" ref="C29:F29" si="8">C86</f>
        <v>2136.7788017247499</v>
      </c>
      <c r="D29" s="8">
        <f t="shared" si="8"/>
        <v>1444.7687503596057</v>
      </c>
      <c r="E29" s="8">
        <f t="shared" si="8"/>
        <v>982.65328062421622</v>
      </c>
      <c r="F29" s="8">
        <f t="shared" si="8"/>
        <v>645.78445070061161</v>
      </c>
    </row>
    <row r="30" spans="1:13" x14ac:dyDescent="0.35">
      <c r="A30" t="s">
        <v>84</v>
      </c>
      <c r="B30" s="8">
        <f>Assumptions!$B$164/365*'Forecast Model'!B12</f>
        <v>8246.0369589041093</v>
      </c>
      <c r="C30" s="8">
        <f>Assumptions!$B$164/365*'Forecast Model'!C12</f>
        <v>8823.2595460273988</v>
      </c>
      <c r="D30" s="8">
        <f>Assumptions!$B$164/365*'Forecast Model'!D12</f>
        <v>9352.6551187890418</v>
      </c>
      <c r="E30" s="8">
        <f>Assumptions!$B$164/365*'Forecast Model'!E12</f>
        <v>9820.2878747284958</v>
      </c>
      <c r="F30" s="8">
        <f>Assumptions!$B$164/365*'Forecast Model'!F12</f>
        <v>10213.099389717634</v>
      </c>
    </row>
    <row r="31" spans="1:13" x14ac:dyDescent="0.35">
      <c r="A31" t="s">
        <v>128</v>
      </c>
      <c r="B31" s="8">
        <f>Assumptions!$B$163/365*B10</f>
        <v>3172.698886767123</v>
      </c>
      <c r="C31" s="8">
        <f>Assumptions!$B$163/365*C10</f>
        <v>3330.1251839105212</v>
      </c>
      <c r="D31" s="8">
        <f>Assumptions!$B$163/365*D10</f>
        <v>3499.2877086114818</v>
      </c>
      <c r="E31" s="8">
        <f>Assumptions!$B$163/365*E10</f>
        <v>3602.2079353353497</v>
      </c>
      <c r="F31" s="8">
        <f>Assumptions!$B$163/365*F10</f>
        <v>3746.2962527487634</v>
      </c>
    </row>
    <row r="32" spans="1:13" x14ac:dyDescent="0.35">
      <c r="A32" t="s">
        <v>129</v>
      </c>
      <c r="B32" s="8">
        <f>SUM(B29:B31)</f>
        <v>14391.981287493149</v>
      </c>
      <c r="C32" s="8">
        <f t="shared" ref="C32:F32" si="9">SUM(C29:C31)</f>
        <v>14290.163531662669</v>
      </c>
      <c r="D32" s="8">
        <f t="shared" si="9"/>
        <v>14296.71157776013</v>
      </c>
      <c r="E32" s="8">
        <f t="shared" si="9"/>
        <v>14405.149090688061</v>
      </c>
      <c r="F32" s="8">
        <f t="shared" si="9"/>
        <v>14605.18009316701</v>
      </c>
    </row>
    <row r="33" spans="1:6" x14ac:dyDescent="0.35">
      <c r="B33" s="8"/>
      <c r="C33" s="8"/>
      <c r="D33" s="8"/>
    </row>
    <row r="34" spans="1:6" x14ac:dyDescent="0.35">
      <c r="A34" s="2" t="s">
        <v>165</v>
      </c>
      <c r="B34" s="8">
        <f>B26+B32</f>
        <v>23575.82591249315</v>
      </c>
      <c r="C34" s="8">
        <f t="shared" ref="C34:F34" si="10">C26+C32</f>
        <v>23458.899417912668</v>
      </c>
      <c r="D34" s="8">
        <f t="shared" si="10"/>
        <v>23481.28365137013</v>
      </c>
      <c r="E34" s="8">
        <f t="shared" si="10"/>
        <v>23627.55133776517</v>
      </c>
      <c r="F34" s="8">
        <f t="shared" si="10"/>
        <v>23878.655642734251</v>
      </c>
    </row>
    <row r="35" spans="1:6" x14ac:dyDescent="0.35">
      <c r="B35" s="8"/>
      <c r="C35" s="8"/>
      <c r="D35" s="8"/>
    </row>
    <row r="36" spans="1:6" x14ac:dyDescent="0.35">
      <c r="A36" s="2" t="s">
        <v>85</v>
      </c>
    </row>
    <row r="37" spans="1:6" x14ac:dyDescent="0.35">
      <c r="A37" t="s">
        <v>130</v>
      </c>
      <c r="B37" s="9">
        <f>- Assumptions!$B$165/365*'Forecast Model'!B12</f>
        <v>-6321.9616684931516</v>
      </c>
      <c r="C37" s="9">
        <f>- Assumptions!$B$165/365*'Forecast Model'!C12</f>
        <v>-6764.4989852876733</v>
      </c>
      <c r="D37" s="9">
        <f>- Assumptions!$B$165/365*'Forecast Model'!D12</f>
        <v>-7170.3689244049328</v>
      </c>
      <c r="E37" s="9">
        <f>- Assumptions!$B$165/365*'Forecast Model'!E12</f>
        <v>-7528.8873706251807</v>
      </c>
      <c r="F37" s="9">
        <f>- Assumptions!$B$165/365*'Forecast Model'!F12</f>
        <v>-7830.0428654501875</v>
      </c>
    </row>
    <row r="39" spans="1:6" x14ac:dyDescent="0.35">
      <c r="A39" s="2" t="s">
        <v>86</v>
      </c>
    </row>
    <row r="40" spans="1:6" x14ac:dyDescent="0.35">
      <c r="A40" t="s">
        <v>87</v>
      </c>
      <c r="B40">
        <f>'Historical Financials'!$F$33</f>
        <v>7187</v>
      </c>
      <c r="C40">
        <f>'Historical Financials'!$F$33</f>
        <v>7187</v>
      </c>
      <c r="D40">
        <f>'Historical Financials'!$F$33</f>
        <v>7187</v>
      </c>
      <c r="E40">
        <f>'Historical Financials'!$F$33</f>
        <v>7187</v>
      </c>
      <c r="F40">
        <f>'Historical Financials'!$F$33</f>
        <v>7187</v>
      </c>
    </row>
    <row r="41" spans="1:6" x14ac:dyDescent="0.35">
      <c r="A41" t="s">
        <v>88</v>
      </c>
      <c r="B41">
        <f>'Historical Financials'!$F$34</f>
        <v>6355</v>
      </c>
      <c r="C41">
        <f>'Historical Financials'!$F$34</f>
        <v>6355</v>
      </c>
      <c r="D41">
        <f>'Historical Financials'!$F$34</f>
        <v>6355</v>
      </c>
      <c r="E41">
        <f>'Historical Financials'!$F$34</f>
        <v>6355</v>
      </c>
      <c r="F41">
        <f>'Historical Financials'!$F$34</f>
        <v>6355</v>
      </c>
    </row>
    <row r="43" spans="1:6" x14ac:dyDescent="0.35">
      <c r="A43" s="2" t="s">
        <v>166</v>
      </c>
      <c r="B43" s="9">
        <f>B37+B41</f>
        <v>33.038331506848408</v>
      </c>
      <c r="C43" s="9">
        <f t="shared" ref="C43:F43" si="11">C37+C41</f>
        <v>-409.49898528767335</v>
      </c>
      <c r="D43" s="9">
        <f t="shared" si="11"/>
        <v>-815.36892440493284</v>
      </c>
      <c r="E43" s="9">
        <f t="shared" si="11"/>
        <v>-1173.8873706251807</v>
      </c>
      <c r="F43" s="9">
        <f t="shared" si="11"/>
        <v>-1475.0428654501875</v>
      </c>
    </row>
    <row r="44" spans="1:6" x14ac:dyDescent="0.35">
      <c r="A44" t="s">
        <v>167</v>
      </c>
      <c r="B44" s="8">
        <f>B34-B43</f>
        <v>23542.787580986304</v>
      </c>
      <c r="C44" s="8">
        <f t="shared" ref="C44:F44" si="12">C34-C43</f>
        <v>23868.398403200343</v>
      </c>
      <c r="D44" s="8">
        <f t="shared" si="12"/>
        <v>24296.652575775064</v>
      </c>
      <c r="E44" s="8">
        <f t="shared" si="12"/>
        <v>24801.438708390349</v>
      </c>
      <c r="F44" s="8">
        <f t="shared" si="12"/>
        <v>25353.69850818444</v>
      </c>
    </row>
    <row r="45" spans="1:6" x14ac:dyDescent="0.35">
      <c r="A45" t="s">
        <v>168</v>
      </c>
      <c r="B45" s="8">
        <f>B43+B44</f>
        <v>23575.82591249315</v>
      </c>
      <c r="C45" s="8">
        <f t="shared" ref="C45:F45" si="13">C43+C44</f>
        <v>23458.899417912668</v>
      </c>
      <c r="D45" s="8">
        <f t="shared" si="13"/>
        <v>23481.283651370133</v>
      </c>
      <c r="E45" s="8">
        <f t="shared" si="13"/>
        <v>23627.55133776517</v>
      </c>
      <c r="F45" s="8">
        <f t="shared" si="13"/>
        <v>23878.655642734251</v>
      </c>
    </row>
    <row r="47" spans="1:6" x14ac:dyDescent="0.35">
      <c r="A47" t="s">
        <v>169</v>
      </c>
      <c r="B47" s="8">
        <f>B34-B45</f>
        <v>0</v>
      </c>
      <c r="C47" s="8">
        <f t="shared" ref="C47:F47" si="14">C34-C45</f>
        <v>0</v>
      </c>
      <c r="D47" s="8">
        <f t="shared" si="14"/>
        <v>0</v>
      </c>
      <c r="E47" s="8">
        <f t="shared" si="14"/>
        <v>0</v>
      </c>
      <c r="F47" s="8">
        <f t="shared" si="14"/>
        <v>0</v>
      </c>
    </row>
    <row r="49" spans="1:6" x14ac:dyDescent="0.35">
      <c r="A49" s="2" t="s">
        <v>158</v>
      </c>
    </row>
    <row r="50" spans="1:6" x14ac:dyDescent="0.35">
      <c r="A50" t="s">
        <v>131</v>
      </c>
    </row>
    <row r="51" spans="1:6" x14ac:dyDescent="0.35">
      <c r="A51" s="22" t="s">
        <v>132</v>
      </c>
      <c r="B51">
        <f>'Historical Financials'!F23</f>
        <v>4254</v>
      </c>
      <c r="C51" s="8">
        <f>B54</f>
        <v>4318.4846250000001</v>
      </c>
      <c r="D51" s="8">
        <f>C54</f>
        <v>4420.1445262500001</v>
      </c>
      <c r="E51" s="8">
        <f>D54</f>
        <v>4549.9469062500002</v>
      </c>
      <c r="F51" s="8">
        <f>E54</f>
        <v>4699.00808373375</v>
      </c>
    </row>
    <row r="52" spans="1:6" x14ac:dyDescent="0.35">
      <c r="A52" s="23" t="s">
        <v>134</v>
      </c>
      <c r="B52" s="8">
        <f>B7*Assumptions!$B$5</f>
        <v>660.044625</v>
      </c>
      <c r="C52" s="8">
        <f>C7*Assumptions!$B$5</f>
        <v>706.24774875000003</v>
      </c>
      <c r="D52" s="8">
        <f>D7*Assumptions!$B$5</f>
        <v>748.62261367500003</v>
      </c>
      <c r="E52" s="8">
        <f>E7*Assumptions!$B$5</f>
        <v>786.05374435875012</v>
      </c>
      <c r="F52" s="8">
        <f>F7*Assumptions!$B$5</f>
        <v>817.49589413310014</v>
      </c>
    </row>
    <row r="53" spans="1:6" x14ac:dyDescent="0.35">
      <c r="A53" s="23" t="s">
        <v>136</v>
      </c>
      <c r="B53" s="8">
        <f>B51*Assumptions!$B$30</f>
        <v>595.56000000000006</v>
      </c>
      <c r="C53" s="8">
        <f>C51*Assumptions!$B$30</f>
        <v>604.58784750000007</v>
      </c>
      <c r="D53" s="8">
        <f>D51*Assumptions!$B$30</f>
        <v>618.82023367500005</v>
      </c>
      <c r="E53" s="8">
        <f>E51*Assumptions!$B$30</f>
        <v>636.99256687500008</v>
      </c>
      <c r="F53" s="8">
        <f>F51*Assumptions!$B$30</f>
        <v>657.86113172272508</v>
      </c>
    </row>
    <row r="54" spans="1:6" x14ac:dyDescent="0.35">
      <c r="A54" s="22" t="s">
        <v>133</v>
      </c>
      <c r="B54" s="8">
        <f>B51+B52-B53</f>
        <v>4318.4846250000001</v>
      </c>
      <c r="C54" s="8">
        <f t="shared" ref="C54:F54" si="15">C51+C52-C53</f>
        <v>4420.1445262500001</v>
      </c>
      <c r="D54" s="8">
        <f t="shared" si="15"/>
        <v>4549.9469062500002</v>
      </c>
      <c r="E54" s="8">
        <f t="shared" si="15"/>
        <v>4699.00808373375</v>
      </c>
      <c r="F54" s="8">
        <f t="shared" si="15"/>
        <v>4858.6428461441255</v>
      </c>
    </row>
    <row r="56" spans="1:6" x14ac:dyDescent="0.35">
      <c r="A56" t="s">
        <v>138</v>
      </c>
    </row>
    <row r="57" spans="1:6" x14ac:dyDescent="0.35">
      <c r="A57" t="s">
        <v>139</v>
      </c>
      <c r="B57" s="8">
        <f>'Historical Financials'!F24</f>
        <v>4985</v>
      </c>
      <c r="C57" s="8">
        <f>B59</f>
        <v>4865.3599999999997</v>
      </c>
      <c r="D57" s="8">
        <f>C59</f>
        <v>4748.5913599999994</v>
      </c>
      <c r="E57" s="8">
        <f>D59</f>
        <v>4634.6251673599991</v>
      </c>
      <c r="F57" s="8">
        <f>E59</f>
        <v>4523.3941633433587</v>
      </c>
    </row>
    <row r="58" spans="1:6" x14ac:dyDescent="0.35">
      <c r="A58" s="24" t="s">
        <v>140</v>
      </c>
      <c r="B58" s="8">
        <f>B57*Assumptions!$B$44</f>
        <v>119.64</v>
      </c>
      <c r="C58" s="8">
        <f>C57*Assumptions!$B$44</f>
        <v>116.76863999999999</v>
      </c>
      <c r="D58" s="8">
        <f>D57*Assumptions!$B$44</f>
        <v>113.96619263999999</v>
      </c>
      <c r="E58" s="8">
        <f>E57*Assumptions!$B$44</f>
        <v>111.23100401663999</v>
      </c>
      <c r="F58" s="8">
        <f>F57*Assumptions!$B$44</f>
        <v>108.56145992024061</v>
      </c>
    </row>
    <row r="59" spans="1:6" x14ac:dyDescent="0.35">
      <c r="A59" t="s">
        <v>141</v>
      </c>
      <c r="B59" s="8">
        <f>B57-B58</f>
        <v>4865.3599999999997</v>
      </c>
      <c r="C59" s="8">
        <f t="shared" ref="C59:F59" si="16">C57-C58</f>
        <v>4748.5913599999994</v>
      </c>
      <c r="D59" s="8">
        <f t="shared" si="16"/>
        <v>4634.6251673599991</v>
      </c>
      <c r="E59" s="8">
        <f t="shared" si="16"/>
        <v>4523.3941633433587</v>
      </c>
      <c r="F59" s="8">
        <f t="shared" si="16"/>
        <v>4414.8327034231179</v>
      </c>
    </row>
    <row r="62" spans="1:6" x14ac:dyDescent="0.35">
      <c r="A62" s="20" t="s">
        <v>144</v>
      </c>
      <c r="B62" s="19"/>
      <c r="C62" s="19"/>
      <c r="D62" s="19"/>
      <c r="E62" s="19"/>
      <c r="F62" s="19"/>
    </row>
    <row r="63" spans="1:6" x14ac:dyDescent="0.35">
      <c r="A63" t="s">
        <v>145</v>
      </c>
    </row>
    <row r="64" spans="1:6" x14ac:dyDescent="0.35">
      <c r="A64" t="s">
        <v>122</v>
      </c>
      <c r="B64" s="8">
        <f>B19</f>
        <v>3854.6606099999972</v>
      </c>
      <c r="C64" s="8">
        <f t="shared" ref="C64:F64" si="17">C19</f>
        <v>4296.3404715624974</v>
      </c>
      <c r="D64" s="8">
        <f t="shared" si="17"/>
        <v>4736.2857358504989</v>
      </c>
      <c r="E64" s="8">
        <f t="shared" si="17"/>
        <v>5164.3731004369856</v>
      </c>
      <c r="F64" s="8">
        <f t="shared" si="17"/>
        <v>5569.8720253601869</v>
      </c>
    </row>
    <row r="65" spans="1:6" x14ac:dyDescent="0.35">
      <c r="A65" s="25" t="s">
        <v>146</v>
      </c>
      <c r="B65" s="8">
        <f>B53+B58</f>
        <v>715.2</v>
      </c>
      <c r="C65" s="8">
        <f t="shared" ref="C65:F65" si="18">C53+C58</f>
        <v>721.35648750000007</v>
      </c>
      <c r="D65" s="8">
        <f t="shared" si="18"/>
        <v>732.78642631500009</v>
      </c>
      <c r="E65" s="8">
        <f t="shared" si="18"/>
        <v>748.22357089164007</v>
      </c>
      <c r="F65" s="8">
        <f t="shared" si="18"/>
        <v>766.4225916429657</v>
      </c>
    </row>
    <row r="66" spans="1:6" x14ac:dyDescent="0.35">
      <c r="A66" t="s">
        <v>147</v>
      </c>
      <c r="B66" s="9">
        <f>-(B30-'Historical Financials'!F27)</f>
        <v>-352.03695890410927</v>
      </c>
      <c r="C66" s="9">
        <f t="shared" ref="C66:F67" si="19">-(C30-B30)</f>
        <v>-577.22258712328949</v>
      </c>
      <c r="D66" s="9">
        <f t="shared" si="19"/>
        <v>-529.39557276164305</v>
      </c>
      <c r="E66" s="9">
        <f t="shared" si="19"/>
        <v>-467.632755939454</v>
      </c>
      <c r="F66" s="9">
        <f t="shared" si="19"/>
        <v>-392.81151498913823</v>
      </c>
    </row>
    <row r="67" spans="1:6" x14ac:dyDescent="0.35">
      <c r="A67" t="s">
        <v>148</v>
      </c>
      <c r="B67" s="9">
        <f>-(B31-'Historical Financials'!F28)</f>
        <v>-38.698886767122985</v>
      </c>
      <c r="C67" s="9">
        <f t="shared" si="19"/>
        <v>-157.42629714339819</v>
      </c>
      <c r="D67" s="9">
        <f t="shared" si="19"/>
        <v>-169.1625247009606</v>
      </c>
      <c r="E67" s="9">
        <f t="shared" si="19"/>
        <v>-102.92022672386793</v>
      </c>
      <c r="F67" s="9">
        <f t="shared" si="19"/>
        <v>-144.08831741341373</v>
      </c>
    </row>
    <row r="68" spans="1:6" x14ac:dyDescent="0.35">
      <c r="A68" t="s">
        <v>149</v>
      </c>
      <c r="B68" s="8">
        <f>-(B37-'Historical Financials'!F30)</f>
        <v>-102.03833150684841</v>
      </c>
      <c r="C68" s="8">
        <f>-(C37-B37)</f>
        <v>442.53731679452176</v>
      </c>
      <c r="D68" s="8">
        <f>-(D37-C37)</f>
        <v>405.86993911725949</v>
      </c>
      <c r="E68" s="8">
        <f>-(E37-D37)</f>
        <v>358.51844622024782</v>
      </c>
      <c r="F68" s="8">
        <f>-(F37-E37)</f>
        <v>301.15549482500683</v>
      </c>
    </row>
    <row r="69" spans="1:6" x14ac:dyDescent="0.35">
      <c r="A69" t="s">
        <v>145</v>
      </c>
      <c r="B69" s="8">
        <f>SUM(B64:B68)</f>
        <v>4077.0864328219159</v>
      </c>
      <c r="C69" s="8">
        <f t="shared" ref="C69:F69" si="20">SUM(C64:C68)</f>
        <v>4725.5853915903317</v>
      </c>
      <c r="D69" s="8">
        <f t="shared" si="20"/>
        <v>5176.3840038201552</v>
      </c>
      <c r="E69" s="8">
        <f t="shared" si="20"/>
        <v>5700.5621348855511</v>
      </c>
      <c r="F69" s="8">
        <f t="shared" si="20"/>
        <v>6100.5502794256081</v>
      </c>
    </row>
    <row r="71" spans="1:6" x14ac:dyDescent="0.35">
      <c r="A71" t="s">
        <v>150</v>
      </c>
    </row>
    <row r="72" spans="1:6" x14ac:dyDescent="0.35">
      <c r="A72" s="26" t="s">
        <v>151</v>
      </c>
      <c r="B72" s="9">
        <f>-B52</f>
        <v>-660.044625</v>
      </c>
      <c r="C72" s="9">
        <f t="shared" ref="C72:F72" si="21">-C52</f>
        <v>-706.24774875000003</v>
      </c>
      <c r="D72" s="9">
        <f t="shared" si="21"/>
        <v>-748.62261367500003</v>
      </c>
      <c r="E72" s="9">
        <f t="shared" si="21"/>
        <v>-786.05374435875012</v>
      </c>
      <c r="F72" s="9">
        <f t="shared" si="21"/>
        <v>-817.49589413310014</v>
      </c>
    </row>
    <row r="73" spans="1:6" x14ac:dyDescent="0.35">
      <c r="A73" t="s">
        <v>152</v>
      </c>
      <c r="B73" s="9">
        <f>B72</f>
        <v>-660.044625</v>
      </c>
      <c r="C73" s="9">
        <f t="shared" ref="C73:F73" si="22">C72</f>
        <v>-706.24774875000003</v>
      </c>
      <c r="D73" s="9">
        <f t="shared" si="22"/>
        <v>-748.62261367500003</v>
      </c>
      <c r="E73" s="9">
        <f t="shared" si="22"/>
        <v>-786.05374435875012</v>
      </c>
      <c r="F73" s="9">
        <f t="shared" si="22"/>
        <v>-817.49589413310014</v>
      </c>
    </row>
    <row r="75" spans="1:6" x14ac:dyDescent="0.35">
      <c r="A75" t="s">
        <v>153</v>
      </c>
    </row>
    <row r="76" spans="1:6" x14ac:dyDescent="0.35">
      <c r="A76" t="s">
        <v>97</v>
      </c>
      <c r="B76" s="9">
        <f>-(B19*Assumptions!$B$147)</f>
        <v>-2312.7963659999982</v>
      </c>
      <c r="C76" s="9">
        <f>-(C19*Assumptions!$B$147)</f>
        <v>-2577.8042829374986</v>
      </c>
      <c r="D76" s="9">
        <f>-(D19*Assumptions!$B$147)</f>
        <v>-2841.7714415102992</v>
      </c>
      <c r="E76" s="9">
        <f>-(E19*Assumptions!$B$147)</f>
        <v>-3098.6238602621911</v>
      </c>
      <c r="F76" s="9">
        <f>-(F19*Assumptions!$B$147)</f>
        <v>-3341.9232152161121</v>
      </c>
    </row>
    <row r="77" spans="1:6" x14ac:dyDescent="0.35">
      <c r="A77" t="s">
        <v>154</v>
      </c>
      <c r="B77" s="9">
        <f>'Historical Financials'!$F$45</f>
        <v>-2278</v>
      </c>
      <c r="C77" s="9">
        <f>'Historical Financials'!$F$45</f>
        <v>-2278</v>
      </c>
      <c r="D77" s="9">
        <f>'Historical Financials'!$F$45</f>
        <v>-2278</v>
      </c>
      <c r="E77" s="9">
        <f>'Historical Financials'!$F$45</f>
        <v>-2278</v>
      </c>
      <c r="F77" s="9">
        <f>'Historical Financials'!$F$45</f>
        <v>-2278</v>
      </c>
    </row>
    <row r="78" spans="1:6" x14ac:dyDescent="0.35">
      <c r="A78" t="s">
        <v>155</v>
      </c>
      <c r="B78" s="9">
        <f>SUM(B76:B77)</f>
        <v>-4590.7963659999987</v>
      </c>
      <c r="C78" s="9">
        <f t="shared" ref="C78:F78" si="23">SUM(C76:C77)</f>
        <v>-4855.804282937499</v>
      </c>
      <c r="D78" s="9">
        <f t="shared" si="23"/>
        <v>-5119.7714415102992</v>
      </c>
      <c r="E78" s="9">
        <f t="shared" si="23"/>
        <v>-5376.6238602621906</v>
      </c>
      <c r="F78" s="9">
        <f t="shared" si="23"/>
        <v>-5619.9232152161121</v>
      </c>
    </row>
    <row r="80" spans="1:6" x14ac:dyDescent="0.35">
      <c r="A80" t="s">
        <v>157</v>
      </c>
      <c r="B80" s="9">
        <f>B69+B73+B78</f>
        <v>-1173.7545581780828</v>
      </c>
      <c r="C80" s="9">
        <f t="shared" ref="C80:F80" si="24">C69+C73+C78</f>
        <v>-836.46664009716733</v>
      </c>
      <c r="D80" s="9">
        <f t="shared" si="24"/>
        <v>-692.01005136514414</v>
      </c>
      <c r="E80" s="9">
        <f t="shared" si="24"/>
        <v>-462.11546973538952</v>
      </c>
      <c r="F80" s="9">
        <f t="shared" si="24"/>
        <v>-336.86882992360461</v>
      </c>
    </row>
    <row r="82" spans="1:6" x14ac:dyDescent="0.35">
      <c r="A82" s="2" t="s">
        <v>158</v>
      </c>
    </row>
    <row r="83" spans="1:6" x14ac:dyDescent="0.35">
      <c r="A83" t="s">
        <v>159</v>
      </c>
    </row>
    <row r="84" spans="1:6" x14ac:dyDescent="0.35">
      <c r="A84" t="s">
        <v>160</v>
      </c>
      <c r="B84" s="8">
        <f>'Historical Financials'!F26</f>
        <v>4147</v>
      </c>
      <c r="C84" s="8">
        <f>B86</f>
        <v>2973.2454418219172</v>
      </c>
      <c r="D84" s="8">
        <f>C86</f>
        <v>2136.7788017247499</v>
      </c>
      <c r="E84" s="8">
        <f>D86</f>
        <v>1444.7687503596057</v>
      </c>
      <c r="F84" s="8">
        <f>E86</f>
        <v>982.65328062421622</v>
      </c>
    </row>
    <row r="85" spans="1:6" x14ac:dyDescent="0.35">
      <c r="A85" s="24" t="s">
        <v>161</v>
      </c>
      <c r="B85" s="9">
        <f>B80</f>
        <v>-1173.7545581780828</v>
      </c>
      <c r="C85" s="9">
        <f t="shared" ref="C85:F85" si="25">C80</f>
        <v>-836.46664009716733</v>
      </c>
      <c r="D85" s="9">
        <f t="shared" si="25"/>
        <v>-692.01005136514414</v>
      </c>
      <c r="E85" s="9">
        <f t="shared" si="25"/>
        <v>-462.11546973538952</v>
      </c>
      <c r="F85" s="9">
        <f t="shared" si="25"/>
        <v>-336.86882992360461</v>
      </c>
    </row>
    <row r="86" spans="1:6" x14ac:dyDescent="0.35">
      <c r="A86" t="s">
        <v>162</v>
      </c>
      <c r="B86" s="8">
        <f>B84+B85</f>
        <v>2973.2454418219172</v>
      </c>
      <c r="C86" s="8">
        <f t="shared" ref="C86:F86" si="26">C84+C85</f>
        <v>2136.7788017247499</v>
      </c>
      <c r="D86" s="8">
        <f t="shared" si="26"/>
        <v>1444.7687503596057</v>
      </c>
      <c r="E86" s="8">
        <f t="shared" si="26"/>
        <v>982.65328062421622</v>
      </c>
      <c r="F86" s="8">
        <f t="shared" si="26"/>
        <v>645.78445070061161</v>
      </c>
    </row>
  </sheetData>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8ACDD-46E4-4498-AE8F-364F99804898}">
  <dimension ref="A1:Z48"/>
  <sheetViews>
    <sheetView zoomScaleNormal="100" workbookViewId="0">
      <selection activeCell="K37" sqref="K37"/>
    </sheetView>
  </sheetViews>
  <sheetFormatPr defaultRowHeight="14.5" x14ac:dyDescent="0.35"/>
  <cols>
    <col min="1" max="1" width="45.36328125" bestFit="1" customWidth="1"/>
    <col min="2" max="2" width="14.1796875" bestFit="1" customWidth="1"/>
    <col min="3" max="4" width="14.453125" bestFit="1" customWidth="1"/>
    <col min="5" max="5" width="12.81640625" customWidth="1"/>
    <col min="6" max="6" width="13" customWidth="1"/>
    <col min="7" max="7" width="14.36328125" customWidth="1"/>
  </cols>
  <sheetData>
    <row r="1" spans="1:26" x14ac:dyDescent="0.35">
      <c r="B1" s="16" t="s">
        <v>118</v>
      </c>
      <c r="C1" s="15"/>
      <c r="D1" s="15"/>
      <c r="E1" s="15"/>
      <c r="F1" s="15"/>
      <c r="G1" s="15"/>
      <c r="Z1" s="3">
        <f>Assumptions!B219</f>
        <v>0.138515</v>
      </c>
    </row>
    <row r="2" spans="1:26" ht="18.5" x14ac:dyDescent="0.45">
      <c r="A2" s="1" t="s">
        <v>178</v>
      </c>
      <c r="B2" s="16" t="s">
        <v>77</v>
      </c>
      <c r="C2" s="16" t="s">
        <v>78</v>
      </c>
      <c r="D2" s="16" t="s">
        <v>79</v>
      </c>
      <c r="E2" s="16" t="s">
        <v>170</v>
      </c>
      <c r="F2" s="16" t="s">
        <v>171</v>
      </c>
      <c r="G2" s="15"/>
      <c r="Z2" s="3">
        <f>Assumptions!B65</f>
        <v>0.03</v>
      </c>
    </row>
    <row r="4" spans="1:26" x14ac:dyDescent="0.35">
      <c r="A4" s="2" t="s">
        <v>179</v>
      </c>
    </row>
    <row r="5" spans="1:26" x14ac:dyDescent="0.35">
      <c r="A5" t="s">
        <v>121</v>
      </c>
      <c r="B5" s="8">
        <f>'Forecast Model'!B16</f>
        <v>5280.3569999999963</v>
      </c>
      <c r="C5" s="8">
        <f>'Forecast Model'!C16</f>
        <v>5885.3979062499966</v>
      </c>
      <c r="D5" s="8">
        <f>'Forecast Model'!D16</f>
        <v>6488.0626518499994</v>
      </c>
      <c r="E5" s="8">
        <f>'Forecast Model'!E16</f>
        <v>7074.4836992287474</v>
      </c>
      <c r="F5" s="8">
        <f>'Forecast Model'!F16</f>
        <v>7629.9616785755989</v>
      </c>
    </row>
    <row r="6" spans="1:26" x14ac:dyDescent="0.35">
      <c r="A6" t="s">
        <v>172</v>
      </c>
      <c r="B6" s="8">
        <f>B5*Assumptions!$B$227</f>
        <v>1425.6963899999992</v>
      </c>
      <c r="C6" s="8">
        <f>C5*Assumptions!$B$227</f>
        <v>1589.0574346874992</v>
      </c>
      <c r="D6" s="8">
        <f>D5*Assumptions!$B$227</f>
        <v>1751.7769159995</v>
      </c>
      <c r="E6" s="8">
        <f>E5*Assumptions!$B$227</f>
        <v>1910.110598791762</v>
      </c>
      <c r="F6" s="8">
        <f>F5*Assumptions!$B$227</f>
        <v>2060.089653215412</v>
      </c>
    </row>
    <row r="7" spans="1:26" x14ac:dyDescent="0.35">
      <c r="A7" t="s">
        <v>173</v>
      </c>
      <c r="B7" s="8">
        <f>B5-B6</f>
        <v>3854.6606099999972</v>
      </c>
      <c r="C7" s="8">
        <f t="shared" ref="C7:F7" si="0">C5-C6</f>
        <v>4296.3404715624974</v>
      </c>
      <c r="D7" s="8">
        <f t="shared" si="0"/>
        <v>4736.2857358504989</v>
      </c>
      <c r="E7" s="8">
        <f t="shared" si="0"/>
        <v>5164.3731004369856</v>
      </c>
      <c r="F7" s="8">
        <f t="shared" si="0"/>
        <v>5569.8720253601869</v>
      </c>
    </row>
    <row r="8" spans="1:26" x14ac:dyDescent="0.35">
      <c r="A8" s="24" t="s">
        <v>177</v>
      </c>
      <c r="B8" s="8">
        <f>'Forecast Model'!B65</f>
        <v>715.2</v>
      </c>
      <c r="C8" s="8">
        <f>'Forecast Model'!C65</f>
        <v>721.35648750000007</v>
      </c>
      <c r="D8" s="8">
        <f>'Forecast Model'!D65</f>
        <v>732.78642631500009</v>
      </c>
      <c r="E8" s="8">
        <f>'Forecast Model'!E65</f>
        <v>748.22357089164007</v>
      </c>
      <c r="F8" s="8">
        <f>'Forecast Model'!F65</f>
        <v>766.4225916429657</v>
      </c>
    </row>
    <row r="9" spans="1:26" x14ac:dyDescent="0.35">
      <c r="A9" s="24" t="s">
        <v>174</v>
      </c>
      <c r="B9" s="9">
        <f>-('Forecast Model'!B52)</f>
        <v>-660.044625</v>
      </c>
      <c r="C9" s="9">
        <f>-('Forecast Model'!C52)</f>
        <v>-706.24774875000003</v>
      </c>
      <c r="D9" s="9">
        <f>-('Forecast Model'!D52)</f>
        <v>-748.62261367500003</v>
      </c>
      <c r="E9" s="9">
        <f>-('Forecast Model'!E52)</f>
        <v>-786.05374435875012</v>
      </c>
      <c r="F9" s="9">
        <f>-('Forecast Model'!F52)</f>
        <v>-817.49589413310014</v>
      </c>
    </row>
    <row r="10" spans="1:26" x14ac:dyDescent="0.35">
      <c r="A10" s="24" t="s">
        <v>175</v>
      </c>
      <c r="B10" s="9">
        <f>'Forecast Model'!B66+'Forecast Model'!B67+'Forecast Model'!B68</f>
        <v>-492.77417717808066</v>
      </c>
      <c r="C10" s="9">
        <f>'Forecast Model'!C66+'Forecast Model'!C67+'Forecast Model'!C68</f>
        <v>-292.11156747216592</v>
      </c>
      <c r="D10" s="9">
        <f>'Forecast Model'!D66+'Forecast Model'!D67+'Forecast Model'!D68</f>
        <v>-292.68815834534416</v>
      </c>
      <c r="E10" s="9">
        <f>'Forecast Model'!E66+'Forecast Model'!E67+'Forecast Model'!E68</f>
        <v>-212.0345364430741</v>
      </c>
      <c r="F10" s="9">
        <f>'Forecast Model'!F66+'Forecast Model'!F67+'Forecast Model'!F68</f>
        <v>-235.74433757754514</v>
      </c>
    </row>
    <row r="11" spans="1:26" x14ac:dyDescent="0.35">
      <c r="A11" t="s">
        <v>176</v>
      </c>
      <c r="B11" s="8">
        <f>B7+B8-B9-B10</f>
        <v>5722.6794121780767</v>
      </c>
      <c r="C11" s="8">
        <f t="shared" ref="C11:F11" si="1">C7+C8-C9-C10</f>
        <v>6016.0562752846636</v>
      </c>
      <c r="D11" s="8">
        <f t="shared" si="1"/>
        <v>6510.3829341858436</v>
      </c>
      <c r="E11" s="8">
        <f t="shared" si="1"/>
        <v>6910.6849521304493</v>
      </c>
      <c r="F11" s="8">
        <f t="shared" si="1"/>
        <v>7389.5348487137981</v>
      </c>
    </row>
    <row r="13" spans="1:26" x14ac:dyDescent="0.35">
      <c r="A13" s="27" t="s">
        <v>180</v>
      </c>
    </row>
    <row r="14" spans="1:26" x14ac:dyDescent="0.35">
      <c r="A14" t="s">
        <v>181</v>
      </c>
    </row>
    <row r="15" spans="1:26" x14ac:dyDescent="0.35">
      <c r="A15" t="s">
        <v>182</v>
      </c>
    </row>
    <row r="16" spans="1:26" x14ac:dyDescent="0.35">
      <c r="A16" t="s">
        <v>183</v>
      </c>
    </row>
    <row r="18" spans="1:7" x14ac:dyDescent="0.35">
      <c r="A18" t="s">
        <v>184</v>
      </c>
      <c r="B18" s="5">
        <f>1/(1+Z1)</f>
        <v>0.87833713214142994</v>
      </c>
      <c r="C18" s="5">
        <f>1/(1+Assumptions!B219)^2</f>
        <v>0.77147611769843172</v>
      </c>
      <c r="D18" s="5">
        <f>1/(1+Assumptions!B219)^3</f>
        <v>0.67761612073484478</v>
      </c>
      <c r="E18" s="5">
        <f>1/(1+Assumptions!B219)^4</f>
        <v>0.59517540017904447</v>
      </c>
      <c r="F18" s="5">
        <f>1/(1+Assumptions!B219)^5</f>
        <v>0.52276465411438977</v>
      </c>
    </row>
    <row r="19" spans="1:7" x14ac:dyDescent="0.35">
      <c r="A19" t="s">
        <v>185</v>
      </c>
      <c r="B19" s="8">
        <f>B11*B18</f>
        <v>5026.4418230572965</v>
      </c>
      <c r="C19" s="8">
        <f t="shared" ref="C19:F19" si="2">C11*C18</f>
        <v>4641.2437391119001</v>
      </c>
      <c r="D19" s="8">
        <f t="shared" si="2"/>
        <v>4411.5404283613479</v>
      </c>
      <c r="E19" s="8">
        <f t="shared" si="2"/>
        <v>4113.0696818955412</v>
      </c>
      <c r="F19" s="8">
        <f t="shared" si="2"/>
        <v>3862.987629254098</v>
      </c>
    </row>
    <row r="20" spans="1:7" x14ac:dyDescent="0.35">
      <c r="B20" s="8"/>
      <c r="C20" s="8"/>
      <c r="D20" s="8"/>
      <c r="E20" s="8"/>
      <c r="F20" s="8"/>
    </row>
    <row r="21" spans="1:7" x14ac:dyDescent="0.35">
      <c r="A21" t="s">
        <v>188</v>
      </c>
      <c r="B21" s="8">
        <f>SUM(B19:F19)</f>
        <v>22055.283301680185</v>
      </c>
      <c r="C21" s="8"/>
      <c r="D21" s="8"/>
      <c r="E21" s="8"/>
      <c r="F21" s="8"/>
    </row>
    <row r="22" spans="1:7" x14ac:dyDescent="0.35">
      <c r="B22" s="8"/>
      <c r="C22" s="8"/>
      <c r="D22" s="8"/>
      <c r="E22" s="8"/>
      <c r="F22" s="8"/>
    </row>
    <row r="23" spans="1:7" x14ac:dyDescent="0.35">
      <c r="A23" t="s">
        <v>189</v>
      </c>
      <c r="B23" s="8">
        <f>F11*(1+$Z$2)/($Z$1-$Z$2)</f>
        <v>70139.804581626624</v>
      </c>
      <c r="C23" s="8"/>
      <c r="D23" s="8"/>
      <c r="E23" s="8"/>
      <c r="F23" s="8"/>
    </row>
    <row r="24" spans="1:7" x14ac:dyDescent="0.35">
      <c r="A24" t="s">
        <v>186</v>
      </c>
      <c r="B24" s="8">
        <f>B23*F18</f>
        <v>36666.610681764934</v>
      </c>
      <c r="C24" s="5"/>
      <c r="D24" s="5"/>
      <c r="E24" s="5"/>
      <c r="F24" s="5"/>
    </row>
    <row r="25" spans="1:7" x14ac:dyDescent="0.35">
      <c r="B25" s="8"/>
      <c r="C25" s="8"/>
      <c r="D25" s="8"/>
      <c r="E25" s="8"/>
      <c r="F25" s="8"/>
    </row>
    <row r="26" spans="1:7" x14ac:dyDescent="0.35">
      <c r="A26" t="s">
        <v>187</v>
      </c>
      <c r="B26" s="8">
        <f>B21+B24</f>
        <v>58721.893983445116</v>
      </c>
      <c r="C26" s="8"/>
      <c r="D26" s="8"/>
      <c r="E26" s="8"/>
      <c r="F26" s="8"/>
      <c r="G26" s="8"/>
    </row>
    <row r="28" spans="1:7" x14ac:dyDescent="0.35">
      <c r="A28" s="2" t="s">
        <v>190</v>
      </c>
    </row>
    <row r="29" spans="1:7" x14ac:dyDescent="0.35">
      <c r="A29" t="s">
        <v>194</v>
      </c>
      <c r="B29" s="12">
        <v>257.48</v>
      </c>
    </row>
    <row r="30" spans="1:7" x14ac:dyDescent="0.35">
      <c r="A30" t="s">
        <v>187</v>
      </c>
      <c r="B30" s="8">
        <f>B26</f>
        <v>58721.893983445116</v>
      </c>
    </row>
    <row r="31" spans="1:7" x14ac:dyDescent="0.35">
      <c r="A31" s="24" t="s">
        <v>191</v>
      </c>
      <c r="B31" s="12">
        <f>'Historical Financials'!F26</f>
        <v>4147</v>
      </c>
    </row>
    <row r="32" spans="1:7" x14ac:dyDescent="0.35">
      <c r="A32" s="24" t="s">
        <v>195</v>
      </c>
      <c r="B32" s="12">
        <f>'Historical Financials'!F34</f>
        <v>6355</v>
      </c>
    </row>
    <row r="33" spans="1:7" x14ac:dyDescent="0.35">
      <c r="A33" t="s">
        <v>192</v>
      </c>
      <c r="B33" s="8">
        <f>B30+B31-B32</f>
        <v>56513.893983445116</v>
      </c>
    </row>
    <row r="34" spans="1:7" x14ac:dyDescent="0.35">
      <c r="A34" t="s">
        <v>193</v>
      </c>
      <c r="B34" s="8">
        <f>B33/B29</f>
        <v>219.48848059439612</v>
      </c>
    </row>
    <row r="36" spans="1:7" x14ac:dyDescent="0.35">
      <c r="A36" s="28"/>
      <c r="B36" s="29"/>
      <c r="C36" s="29"/>
      <c r="D36" s="29"/>
      <c r="E36" s="29"/>
      <c r="F36" s="29"/>
      <c r="G36" s="29"/>
    </row>
    <row r="37" spans="1:7" ht="21" x14ac:dyDescent="0.5">
      <c r="A37" s="31" t="s">
        <v>196</v>
      </c>
      <c r="B37" s="30"/>
      <c r="C37" s="30"/>
      <c r="D37" s="30"/>
      <c r="E37" s="30"/>
      <c r="F37" s="30"/>
      <c r="G37" s="30"/>
    </row>
    <row r="38" spans="1:7" ht="15" thickBot="1" x14ac:dyDescent="0.4">
      <c r="A38" s="2"/>
      <c r="B38" s="7"/>
      <c r="C38" s="4"/>
      <c r="D38" s="4" t="s">
        <v>197</v>
      </c>
      <c r="E38" s="3"/>
      <c r="F38" s="3"/>
      <c r="G38" s="3"/>
    </row>
    <row r="39" spans="1:7" x14ac:dyDescent="0.35">
      <c r="A39" s="8"/>
      <c r="B39" s="136">
        <f>B34</f>
        <v>219.48848059439612</v>
      </c>
      <c r="C39" s="137">
        <v>0.02</v>
      </c>
      <c r="D39" s="137">
        <v>2.5000000000000001E-2</v>
      </c>
      <c r="E39" s="137">
        <v>0.03</v>
      </c>
      <c r="F39" s="137">
        <v>3.5000000000000003E-2</v>
      </c>
      <c r="G39" s="138">
        <v>0.04</v>
      </c>
    </row>
    <row r="40" spans="1:7" x14ac:dyDescent="0.35">
      <c r="A40" s="7"/>
      <c r="B40" s="134">
        <v>0.1</v>
      </c>
      <c r="C40" s="8">
        <f t="dataTable" ref="C40:G48" dt2D="1" dtr="1" r1="Z2" r2="Z1" ca="1"/>
        <v>269.05534247656294</v>
      </c>
      <c r="D40" s="8">
        <v>282.8081465525413</v>
      </c>
      <c r="E40" s="8">
        <v>298.52563692508812</v>
      </c>
      <c r="F40" s="8">
        <v>316.66120273956517</v>
      </c>
      <c r="G40" s="32">
        <v>337.81936285645509</v>
      </c>
    </row>
    <row r="41" spans="1:7" x14ac:dyDescent="0.35">
      <c r="A41" s="7"/>
      <c r="B41" s="134">
        <v>0.105</v>
      </c>
      <c r="C41" s="8">
        <v>257.71162197183605</v>
      </c>
      <c r="D41" s="8">
        <v>269.90160740281692</v>
      </c>
      <c r="E41" s="8">
        <v>283.71692422459523</v>
      </c>
      <c r="F41" s="8">
        <v>299.50585773519902</v>
      </c>
      <c r="G41" s="32">
        <v>317.72385793974178</v>
      </c>
    </row>
    <row r="42" spans="1:7" x14ac:dyDescent="0.35">
      <c r="A42" s="7"/>
      <c r="B42" s="134">
        <v>0.11</v>
      </c>
      <c r="C42" s="8">
        <v>247.61898004311377</v>
      </c>
      <c r="D42" s="8">
        <v>258.50355225297903</v>
      </c>
      <c r="E42" s="8">
        <v>270.74869598907748</v>
      </c>
      <c r="F42" s="8">
        <v>284.62652555665568</v>
      </c>
      <c r="G42" s="32">
        <v>300.48690220531654</v>
      </c>
    </row>
    <row r="43" spans="1:7" x14ac:dyDescent="0.35">
      <c r="A43" s="35" t="s">
        <v>198</v>
      </c>
      <c r="B43" s="134">
        <v>0.115</v>
      </c>
      <c r="C43" s="8">
        <v>238.57999693882132</v>
      </c>
      <c r="D43" s="8">
        <v>248.36269329908666</v>
      </c>
      <c r="E43" s="8">
        <v>259.29629511350089</v>
      </c>
      <c r="F43" s="8">
        <v>271.59659715471685</v>
      </c>
      <c r="G43" s="32">
        <v>285.536939468095</v>
      </c>
    </row>
    <row r="44" spans="1:7" x14ac:dyDescent="0.35">
      <c r="A44" s="35"/>
      <c r="B44" s="134">
        <v>0.12</v>
      </c>
      <c r="C44" s="8">
        <v>230.43673483944156</v>
      </c>
      <c r="D44" s="8">
        <v>239.28064329786974</v>
      </c>
      <c r="E44" s="8">
        <v>249.10720825167888</v>
      </c>
      <c r="F44" s="8">
        <v>260.08983967064199</v>
      </c>
      <c r="G44" s="32">
        <v>272.44530001697564</v>
      </c>
    </row>
    <row r="45" spans="1:7" x14ac:dyDescent="0.35">
      <c r="B45" s="134">
        <v>0.125</v>
      </c>
      <c r="C45" s="8">
        <v>223.06133744021557</v>
      </c>
      <c r="D45" s="8">
        <v>231.0986904716315</v>
      </c>
      <c r="E45" s="8">
        <v>239.98208066424914</v>
      </c>
      <c r="F45" s="8">
        <v>249.85251421160208</v>
      </c>
      <c r="G45" s="32">
        <v>260.88417523511424</v>
      </c>
    </row>
    <row r="46" spans="1:7" x14ac:dyDescent="0.35">
      <c r="B46" s="134">
        <v>0.13</v>
      </c>
      <c r="C46" s="8">
        <v>216.34919328293395</v>
      </c>
      <c r="D46" s="8">
        <v>223.68835201061074</v>
      </c>
      <c r="E46" s="8">
        <v>231.76142661105524</v>
      </c>
      <c r="F46" s="8">
        <v>240.68429853786228</v>
      </c>
      <c r="G46" s="32">
        <v>250.598600678759</v>
      </c>
    </row>
    <row r="47" spans="1:7" x14ac:dyDescent="0.35">
      <c r="B47" s="134">
        <v>0.13500000000000001</v>
      </c>
      <c r="C47" s="8">
        <v>210.21388256538694</v>
      </c>
      <c r="D47" s="8">
        <v>216.944503891827</v>
      </c>
      <c r="E47" s="8">
        <v>224.31613677316608</v>
      </c>
      <c r="F47" s="8">
        <v>232.42493294263903</v>
      </c>
      <c r="G47" s="32">
        <v>241.38728660363552</v>
      </c>
    </row>
    <row r="48" spans="1:7" ht="15" thickBot="1" x14ac:dyDescent="0.4">
      <c r="B48" s="135">
        <v>0.14000000000000001</v>
      </c>
      <c r="C48" s="33">
        <v>204.58338724752039</v>
      </c>
      <c r="D48" s="33">
        <v>210.78030291811936</v>
      </c>
      <c r="E48" s="33">
        <v>217.54057455877282</v>
      </c>
      <c r="F48" s="33">
        <v>224.94468159377416</v>
      </c>
      <c r="G48" s="34">
        <v>233.08919933227568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BD1AC-F50E-48EF-B98F-7228986AE931}">
  <dimension ref="A1:Z10"/>
  <sheetViews>
    <sheetView workbookViewId="0">
      <selection activeCell="L6" sqref="L6"/>
    </sheetView>
  </sheetViews>
  <sheetFormatPr defaultRowHeight="14.5" x14ac:dyDescent="0.35"/>
  <cols>
    <col min="1" max="1" width="9" customWidth="1"/>
    <col min="3" max="3" width="11.08984375" customWidth="1"/>
    <col min="4" max="4" width="10.26953125" customWidth="1"/>
    <col min="6" max="6" width="14" customWidth="1"/>
    <col min="7" max="7" width="12.453125" customWidth="1"/>
    <col min="8" max="8" width="11.453125" customWidth="1"/>
    <col min="9" max="9" width="11.36328125" customWidth="1"/>
  </cols>
  <sheetData>
    <row r="1" spans="1:26" x14ac:dyDescent="0.35">
      <c r="A1" s="29"/>
      <c r="B1" s="29"/>
      <c r="C1" s="29"/>
      <c r="D1" s="29"/>
      <c r="E1" s="29"/>
      <c r="F1" s="29"/>
      <c r="G1" s="29"/>
      <c r="H1" s="29"/>
      <c r="I1" s="29"/>
      <c r="Z1" s="7">
        <f>0.06+Assumptions!$B$249</f>
        <v>0.06</v>
      </c>
    </row>
    <row r="2" spans="1:26" ht="18.5" x14ac:dyDescent="0.45">
      <c r="A2" s="156" t="s">
        <v>200</v>
      </c>
      <c r="B2" s="28"/>
      <c r="C2" s="28"/>
      <c r="D2" s="28"/>
      <c r="E2" s="28"/>
      <c r="F2" s="28"/>
      <c r="G2" s="29"/>
      <c r="H2" s="29"/>
      <c r="I2" s="29"/>
      <c r="Z2" s="7">
        <f>0.3+Assumptions!$B$250</f>
        <v>0.3</v>
      </c>
    </row>
    <row r="3" spans="1:26" ht="15" thickBot="1" x14ac:dyDescent="0.4">
      <c r="F3" s="2" t="s">
        <v>199</v>
      </c>
      <c r="I3" s="36"/>
    </row>
    <row r="4" spans="1:26" x14ac:dyDescent="0.35">
      <c r="B4" s="136">
        <f>'DCF Valuation'!B34</f>
        <v>219.48848059439612</v>
      </c>
      <c r="C4" s="141">
        <v>0.03</v>
      </c>
      <c r="D4" s="142">
        <v>0.04</v>
      </c>
      <c r="E4" s="142">
        <v>0.05</v>
      </c>
      <c r="F4" s="142">
        <v>0.06</v>
      </c>
      <c r="G4" s="142">
        <v>7.0000000000000007E-2</v>
      </c>
      <c r="H4" s="142">
        <v>0.08</v>
      </c>
      <c r="I4" s="143">
        <v>0.09</v>
      </c>
    </row>
    <row r="5" spans="1:26" x14ac:dyDescent="0.35">
      <c r="B5" s="139">
        <v>0.25</v>
      </c>
      <c r="C5" s="8">
        <f t="dataTable" ref="C5:I10" dt2D="1" dtr="1" r1="Z1" r2="Z2"/>
        <v>218.79156133719962</v>
      </c>
      <c r="D5" s="8">
        <v>220.62189258020908</v>
      </c>
      <c r="E5" s="8">
        <v>222.4522238232185</v>
      </c>
      <c r="F5" s="8">
        <v>224.28255506622784</v>
      </c>
      <c r="G5" s="8">
        <v>226.11288630923721</v>
      </c>
      <c r="H5" s="8">
        <v>227.94321755224661</v>
      </c>
      <c r="I5" s="32">
        <v>229.77354879525603</v>
      </c>
    </row>
    <row r="6" spans="1:26" x14ac:dyDescent="0.35">
      <c r="A6" s="37" t="s">
        <v>201</v>
      </c>
      <c r="B6" s="139">
        <v>0.26</v>
      </c>
      <c r="C6" s="8">
        <v>217.85988271342856</v>
      </c>
      <c r="D6" s="8">
        <v>219.68116853290627</v>
      </c>
      <c r="E6" s="8">
        <v>221.50245435238389</v>
      </c>
      <c r="F6" s="8">
        <v>223.32374017186149</v>
      </c>
      <c r="G6" s="8">
        <v>225.14502599133911</v>
      </c>
      <c r="H6" s="8">
        <v>226.96631181081676</v>
      </c>
      <c r="I6" s="32">
        <v>228.78759763029444</v>
      </c>
    </row>
    <row r="7" spans="1:26" x14ac:dyDescent="0.35">
      <c r="B7" s="139">
        <v>0.27</v>
      </c>
      <c r="C7" s="8">
        <v>216.92820408965753</v>
      </c>
      <c r="D7" s="8">
        <v>218.74044448560343</v>
      </c>
      <c r="E7" s="8">
        <v>220.55268488154931</v>
      </c>
      <c r="F7" s="8">
        <v>222.36492527749516</v>
      </c>
      <c r="G7" s="8">
        <v>224.17716567344104</v>
      </c>
      <c r="H7" s="8">
        <v>225.98940606938689</v>
      </c>
      <c r="I7" s="32">
        <v>227.80164646533282</v>
      </c>
    </row>
    <row r="8" spans="1:26" x14ac:dyDescent="0.35">
      <c r="B8" s="139">
        <v>0.28000000000000003</v>
      </c>
      <c r="C8" s="8">
        <v>215.99652546588641</v>
      </c>
      <c r="D8" s="8">
        <v>217.7997204383006</v>
      </c>
      <c r="E8" s="8">
        <v>219.60291541071473</v>
      </c>
      <c r="F8" s="8">
        <v>221.40611038312881</v>
      </c>
      <c r="G8" s="8">
        <v>223.20930535554291</v>
      </c>
      <c r="H8" s="8">
        <v>225.01250032795704</v>
      </c>
      <c r="I8" s="32">
        <v>226.8156953003712</v>
      </c>
    </row>
    <row r="9" spans="1:26" x14ac:dyDescent="0.35">
      <c r="B9" s="139">
        <v>0.28999999999999998</v>
      </c>
      <c r="C9" s="8">
        <v>215.06484684211537</v>
      </c>
      <c r="D9" s="8">
        <v>216.85899639099779</v>
      </c>
      <c r="E9" s="8">
        <v>218.65314593988018</v>
      </c>
      <c r="F9" s="8">
        <v>220.44729548876248</v>
      </c>
      <c r="G9" s="8">
        <v>222.24144503764481</v>
      </c>
      <c r="H9" s="8">
        <v>224.03559458652717</v>
      </c>
      <c r="I9" s="32">
        <v>225.82974413540961</v>
      </c>
    </row>
    <row r="10" spans="1:26" ht="15" thickBot="1" x14ac:dyDescent="0.4">
      <c r="B10" s="140">
        <v>0.3</v>
      </c>
      <c r="C10" s="33">
        <v>214.13316821834428</v>
      </c>
      <c r="D10" s="33">
        <v>215.91827234369495</v>
      </c>
      <c r="E10" s="33">
        <v>217.70337646904557</v>
      </c>
      <c r="F10" s="33">
        <v>219.48848059439612</v>
      </c>
      <c r="G10" s="33">
        <v>221.27358471974671</v>
      </c>
      <c r="H10" s="33">
        <v>223.05868884509732</v>
      </c>
      <c r="I10" s="34">
        <v>224.84379297044796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 Page </vt:lpstr>
      <vt:lpstr>Dashboard</vt:lpstr>
      <vt:lpstr>Assumptions</vt:lpstr>
      <vt:lpstr>Historical Financials</vt:lpstr>
      <vt:lpstr>Historical Ratios</vt:lpstr>
      <vt:lpstr>Forecast Model</vt:lpstr>
      <vt:lpstr>DCF Valuation</vt:lpstr>
      <vt:lpstr>Operational Sensitivity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Buzwekazi George</dc:creator>
  <cp:lastModifiedBy>Buzwekazi George</cp:lastModifiedBy>
  <dcterms:created xsi:type="dcterms:W3CDTF">2025-12-05T15:42:26Z</dcterms:created>
  <dcterms:modified xsi:type="dcterms:W3CDTF">2026-05-28T18:55:43Z</dcterms:modified>
</cp:coreProperties>
</file>